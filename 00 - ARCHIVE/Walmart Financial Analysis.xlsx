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/Users/henry/Desktop/"/>
    </mc:Choice>
  </mc:AlternateContent>
  <xr:revisionPtr revIDLastSave="5" documentId="13_ncr:1_{432A8F4D-782E-FA4A-8F64-25E947C198A0}" xr6:coauthVersionLast="47" xr6:coauthVersionMax="47" xr10:uidLastSave="{2E74EABC-4EA4-44CD-B0A8-F3A4BCC40AC3}"/>
  <bookViews>
    <workbookView xWindow="23020" yWindow="3340" windowWidth="49480" windowHeight="37360" firstSheet="2" xr2:uid="{00000000-000D-0000-FFFF-FFFF00000000}"/>
  </bookViews>
  <sheets>
    <sheet name="Raw Data" sheetId="1" r:id="rId1"/>
    <sheet name="Ratio Analysis" sheetId="2" r:id="rId2"/>
    <sheet name="Trend Analysis" sheetId="3" r:id="rId3"/>
    <sheet name="Common-Size Income Statement" sheetId="4" r:id="rId4"/>
    <sheet name="PPE Analysis" sheetId="5" r:id="rId5"/>
    <sheet name="Dashboar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6" l="1"/>
  <c r="J10" i="6"/>
  <c r="I10" i="6"/>
  <c r="F10" i="6"/>
  <c r="E10" i="6"/>
  <c r="D10" i="6"/>
  <c r="C10" i="6"/>
  <c r="B10" i="6"/>
  <c r="M9" i="6"/>
  <c r="L9" i="6"/>
  <c r="K9" i="6"/>
  <c r="J9" i="6"/>
  <c r="I9" i="6"/>
  <c r="F9" i="6"/>
  <c r="E9" i="6"/>
  <c r="D9" i="6"/>
  <c r="C9" i="6"/>
  <c r="B9" i="6"/>
  <c r="M8" i="6"/>
  <c r="L8" i="6"/>
  <c r="K8" i="6"/>
  <c r="J8" i="6"/>
  <c r="I8" i="6"/>
  <c r="F8" i="6"/>
  <c r="E8" i="6"/>
  <c r="D8" i="6"/>
  <c r="C8" i="6"/>
  <c r="B8" i="6"/>
  <c r="L7" i="6"/>
  <c r="K7" i="6"/>
  <c r="J7" i="6"/>
  <c r="I7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M4" i="6"/>
  <c r="L4" i="6"/>
  <c r="K4" i="6"/>
  <c r="J4" i="6"/>
  <c r="I4" i="6"/>
  <c r="F4" i="6"/>
  <c r="E4" i="6"/>
  <c r="D4" i="6"/>
  <c r="C4" i="6"/>
  <c r="B4" i="6"/>
  <c r="M3" i="6"/>
  <c r="L3" i="6"/>
  <c r="K3" i="6"/>
  <c r="J3" i="6"/>
  <c r="I3" i="6"/>
  <c r="F3" i="6"/>
  <c r="E3" i="6"/>
  <c r="D3" i="6"/>
  <c r="C3" i="6"/>
  <c r="B3" i="6"/>
  <c r="M2" i="6"/>
  <c r="L2" i="6"/>
  <c r="K2" i="6"/>
  <c r="J2" i="6"/>
  <c r="I2" i="6"/>
  <c r="F2" i="6"/>
  <c r="E2" i="6"/>
  <c r="D2" i="6"/>
  <c r="C2" i="6"/>
  <c r="B2" i="6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F3" i="5"/>
  <c r="E3" i="5"/>
  <c r="D3" i="5"/>
  <c r="C3" i="5"/>
  <c r="B3" i="5"/>
  <c r="F2" i="5"/>
  <c r="E2" i="5"/>
  <c r="D2" i="5"/>
  <c r="C2" i="5"/>
  <c r="B2" i="5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B2" i="4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F3" i="3"/>
  <c r="E3" i="3"/>
  <c r="D3" i="3"/>
  <c r="C3" i="3"/>
  <c r="F2" i="3"/>
  <c r="E2" i="3"/>
  <c r="D2" i="3"/>
  <c r="C2" i="3"/>
  <c r="F21" i="2"/>
  <c r="E21" i="2"/>
  <c r="D21" i="2"/>
  <c r="C21" i="2"/>
  <c r="B21" i="2"/>
  <c r="F20" i="2"/>
  <c r="E20" i="2"/>
  <c r="D20" i="2"/>
  <c r="C20" i="2"/>
  <c r="B20" i="2"/>
  <c r="F18" i="2"/>
  <c r="E18" i="2"/>
  <c r="D18" i="2"/>
  <c r="C18" i="2"/>
  <c r="F17" i="2"/>
  <c r="E17" i="2"/>
  <c r="D17" i="2"/>
  <c r="C17" i="2"/>
  <c r="F15" i="2"/>
  <c r="E15" i="2"/>
  <c r="D15" i="2"/>
  <c r="C15" i="2"/>
  <c r="B15" i="2"/>
  <c r="F14" i="2"/>
  <c r="E14" i="2"/>
  <c r="D14" i="2"/>
  <c r="C14" i="2"/>
  <c r="B14" i="2"/>
  <c r="F12" i="2"/>
  <c r="E12" i="2"/>
  <c r="D12" i="2"/>
  <c r="C12" i="2"/>
  <c r="B12" i="2"/>
  <c r="F11" i="2"/>
  <c r="E11" i="2"/>
  <c r="D11" i="2"/>
  <c r="C11" i="2"/>
  <c r="B11" i="2"/>
  <c r="F9" i="2"/>
  <c r="E9" i="2"/>
  <c r="D9" i="2"/>
  <c r="C9" i="2"/>
  <c r="F8" i="2"/>
  <c r="E8" i="2"/>
  <c r="D8" i="2"/>
  <c r="C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3" i="2"/>
  <c r="E3" i="2"/>
  <c r="D3" i="2"/>
  <c r="C3" i="2"/>
  <c r="L10" i="6" l="1"/>
  <c r="M7" i="6"/>
  <c r="M10" i="6"/>
</calcChain>
</file>

<file path=xl/sharedStrings.xml><?xml version="1.0" encoding="utf-8"?>
<sst xmlns="http://schemas.openxmlformats.org/spreadsheetml/2006/main" count="108" uniqueCount="71">
  <si>
    <t>WALMART</t>
  </si>
  <si>
    <t>C$ in millions</t>
  </si>
  <si>
    <t>Income Statement</t>
  </si>
  <si>
    <t>Revenue</t>
  </si>
  <si>
    <t>Cost of Sales</t>
  </si>
  <si>
    <t>Gross Profit</t>
  </si>
  <si>
    <t>Operating Income</t>
  </si>
  <si>
    <t>Interest Expense (or Net Finance Costs)</t>
  </si>
  <si>
    <t>Income Before Tax</t>
  </si>
  <si>
    <t>Income Tax Expense</t>
  </si>
  <si>
    <t>Net Income</t>
  </si>
  <si>
    <t>Balance Sheet – Assets</t>
  </si>
  <si>
    <t>Cash &amp; Cash Equivalents</t>
  </si>
  <si>
    <t>Trade Receivables</t>
  </si>
  <si>
    <t>Inventory</t>
  </si>
  <si>
    <t>Total Current Assets</t>
  </si>
  <si>
    <t>Property &amp; Equipment (Net PPE)</t>
  </si>
  <si>
    <t>Goodwill</t>
  </si>
  <si>
    <t>Total Assets</t>
  </si>
  <si>
    <t>Balance Sheet – Liabilities</t>
  </si>
  <si>
    <t>Accounts Payable</t>
  </si>
  <si>
    <t>Short-Term Borrowings (if shown)</t>
  </si>
  <si>
    <t>Current Portion of Long-Term Debt</t>
  </si>
  <si>
    <t>Total Current Liabilities</t>
  </si>
  <si>
    <t>Long-Term Debt</t>
  </si>
  <si>
    <t>Total Liabilities</t>
  </si>
  <si>
    <t>Balance Sheet – Equity</t>
  </si>
  <si>
    <t>Retained Earnings</t>
  </si>
  <si>
    <t>Total Shareholders’ Equity</t>
  </si>
  <si>
    <t>Total Equity</t>
  </si>
  <si>
    <t>Cash Flow Statement</t>
  </si>
  <si>
    <t>Cash From Operating Activities</t>
  </si>
  <si>
    <t>Capital Expenditures</t>
  </si>
  <si>
    <t>Depreciation Expense</t>
  </si>
  <si>
    <t>Dividends Paid</t>
  </si>
  <si>
    <t>PPE Note</t>
  </si>
  <si>
    <t>Gross PPE</t>
  </si>
  <si>
    <t>Accumulated Depreciation</t>
  </si>
  <si>
    <t>Net PPE</t>
  </si>
  <si>
    <t>Walmart Ratio</t>
  </si>
  <si>
    <t>Growth</t>
  </si>
  <si>
    <t>Revenue Growth</t>
  </si>
  <si>
    <t>Profitability</t>
  </si>
  <si>
    <t>Gross Margin</t>
  </si>
  <si>
    <t>Operating Margin</t>
  </si>
  <si>
    <t>Net Margin</t>
  </si>
  <si>
    <t>ROA</t>
  </si>
  <si>
    <t>ROE</t>
  </si>
  <si>
    <t>Liquidity</t>
  </si>
  <si>
    <t>Current Ratio</t>
  </si>
  <si>
    <t>Quick Ratio</t>
  </si>
  <si>
    <t>Solvency</t>
  </si>
  <si>
    <t>Debt Ratio</t>
  </si>
  <si>
    <t>Debt-to-Equity</t>
  </si>
  <si>
    <t>Efficiency</t>
  </si>
  <si>
    <t>Asset Turnover</t>
  </si>
  <si>
    <t>Inventory Turnover</t>
  </si>
  <si>
    <t>Cash Flow</t>
  </si>
  <si>
    <t>OCF / Net Income</t>
  </si>
  <si>
    <t>Free Cash Flow</t>
  </si>
  <si>
    <t>Walmart YoY Change</t>
  </si>
  <si>
    <t>Walmart Common-Size Income Statement</t>
  </si>
  <si>
    <t>PPE Analysis</t>
  </si>
  <si>
    <t>Net PPE / Total Assets</t>
  </si>
  <si>
    <t>Accumulated Depreciation / Gross PPE</t>
  </si>
  <si>
    <t>Capital Expenditures / Revenue</t>
  </si>
  <si>
    <t>Depreciation Expense / Gross PPE</t>
  </si>
  <si>
    <t>Summary Dashboard</t>
  </si>
  <si>
    <t>Trend Chart Data</t>
  </si>
  <si>
    <t>Operating Cash Flow</t>
  </si>
  <si>
    <t>Key Ratio 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</si>
</sst>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;\-"/>
    <numFmt numFmtId="165" formatCode="0.0%"/>
    <numFmt numFmtId="166" formatCode="0.00\x"/>
  </numFmts>
  <fonts count="11">
    <font>
      <sz val="11"/>
      <name val="Carlito"/>
    </font>
    <font>
      <sz val="10"/>
      <name val="Aptos"/>
    </font>
    <font>
      <sz val="10"/>
      <color rgb="FF000000"/>
      <name val="Aptos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FFFFFF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166" fontId="8" fillId="0" borderId="2" xfId="0" applyNumberFormat="1" applyFont="1" applyBorder="1" applyAlignment="1">
      <alignment vertical="center"/>
    </xf>
    <xf numFmtId="164" fontId="8" fillId="0" borderId="2" xfId="0" applyNumberFormat="1" applyFont="1" applyBorder="1" applyAlignment="1">
      <alignment vertical="center"/>
    </xf>
    <xf numFmtId="164" fontId="9" fillId="0" borderId="2" xfId="0" applyNumberFormat="1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166" fontId="10" fillId="0" borderId="2" xfId="0" applyNumberFormat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Revenue, Net Income and Operating Cash Flow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Dashboard!$H$1</c:f>
              <c:strCache>
                <c:ptCount val="1"/>
                <c:pt idx="0">
                  <c:v>Trend Chart Data</c:v>
                </c:pt>
              </c:strCache>
            </c:strRef>
          </c:tx>
          <c:val>
            <c:numRef>
              <c:f>Dashboard!$I$1:$M$1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E-B249-B774-4307D3BD1B52}"/>
            </c:ext>
          </c:extLst>
        </c:ser>
        <c:ser>
          <c:idx val="1"/>
          <c:order val="1"/>
          <c:tx>
            <c:strRef>
              <c:f>Dashboard!$H$2</c:f>
              <c:strCache>
                <c:ptCount val="1"/>
                <c:pt idx="0">
                  <c:v>Revenue</c:v>
                </c:pt>
              </c:strCache>
            </c:strRef>
          </c:tx>
          <c:val>
            <c:numRef>
              <c:f>Dashboard!$I$2:$M$2</c:f>
              <c:numCache>
                <c:formatCode>\$#,##0;[Red]\(\$#,##0\);\-</c:formatCode>
                <c:ptCount val="5"/>
                <c:pt idx="0">
                  <c:v>559151</c:v>
                </c:pt>
                <c:pt idx="1">
                  <c:v>572754</c:v>
                </c:pt>
                <c:pt idx="2">
                  <c:v>611289</c:v>
                </c:pt>
                <c:pt idx="3">
                  <c:v>648125</c:v>
                </c:pt>
                <c:pt idx="4">
                  <c:v>680985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E-B249-B774-4307D3BD1B52}"/>
            </c:ext>
          </c:extLst>
        </c:ser>
        <c:ser>
          <c:idx val="2"/>
          <c:order val="2"/>
          <c:tx>
            <c:strRef>
              <c:f>Dashboard!$H$3</c:f>
              <c:strCache>
                <c:ptCount val="1"/>
                <c:pt idx="0">
                  <c:v>Net Income</c:v>
                </c:pt>
              </c:strCache>
            </c:strRef>
          </c:tx>
          <c:val>
            <c:numRef>
              <c:f>Dashboard!$I$3:$M$3</c:f>
              <c:numCache>
                <c:formatCode>\$#,##0;[Red]\(\$#,##0\);\-</c:formatCode>
                <c:ptCount val="5"/>
                <c:pt idx="0">
                  <c:v>13706</c:v>
                </c:pt>
                <c:pt idx="1">
                  <c:v>13940</c:v>
                </c:pt>
                <c:pt idx="2">
                  <c:v>11292</c:v>
                </c:pt>
                <c:pt idx="3">
                  <c:v>16270</c:v>
                </c:pt>
                <c:pt idx="4">
                  <c:v>20157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7E-B249-B774-4307D3BD1B52}"/>
            </c:ext>
          </c:extLst>
        </c:ser>
        <c:ser>
          <c:idx val="3"/>
          <c:order val="3"/>
          <c:tx>
            <c:strRef>
              <c:f>Dashboard!$H$4</c:f>
              <c:strCache>
                <c:ptCount val="1"/>
                <c:pt idx="0">
                  <c:v>Operating Cash Flow</c:v>
                </c:pt>
              </c:strCache>
            </c:strRef>
          </c:tx>
          <c:val>
            <c:numRef>
              <c:f>Dashboard!$I$4:$M$4</c:f>
              <c:numCache>
                <c:formatCode>\$#,##0;[Red]\(\$#,##0\);\-</c:formatCode>
                <c:ptCount val="5"/>
                <c:pt idx="0">
                  <c:v>36074</c:v>
                </c:pt>
                <c:pt idx="1">
                  <c:v>24181</c:v>
                </c:pt>
                <c:pt idx="2">
                  <c:v>28841</c:v>
                </c:pt>
                <c:pt idx="3">
                  <c:v>35726</c:v>
                </c:pt>
                <c:pt idx="4">
                  <c:v>36443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7E-B249-B774-4307D3BD1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Key Ratios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Dashboard!$H$6</c:f>
              <c:strCache>
                <c:ptCount val="1"/>
                <c:pt idx="0">
                  <c:v>Key Ratio Chart Data</c:v>
                </c:pt>
              </c:strCache>
            </c:strRef>
          </c:tx>
          <c:val>
            <c:numRef>
              <c:f>Dashboard!$I$6:$M$6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A-9846-8BDC-6B80D06A8CB7}"/>
            </c:ext>
          </c:extLst>
        </c:ser>
        <c:ser>
          <c:idx val="1"/>
          <c:order val="1"/>
          <c:tx>
            <c:strRef>
              <c:f>Dashboard!$H$7</c:f>
              <c:strCache>
                <c:ptCount val="1"/>
                <c:pt idx="0">
                  <c:v>Gross Margin</c:v>
                </c:pt>
              </c:strCache>
            </c:strRef>
          </c:tx>
          <c:val>
            <c:numRef>
              <c:f>Dashboard!$I$7:$M$7</c:f>
              <c:numCache>
                <c:formatCode>0.0%</c:formatCode>
                <c:ptCount val="5"/>
                <c:pt idx="0">
                  <c:v>0.24829786587165184</c:v>
                </c:pt>
                <c:pt idx="1">
                  <c:v>0.25098733487675334</c:v>
                </c:pt>
                <c:pt idx="2">
                  <c:v>0.24140463839525986</c:v>
                </c:pt>
                <c:pt idx="3">
                  <c:v>0.24375390549662487</c:v>
                </c:pt>
                <c:pt idx="4">
                  <c:v>0.24851061330278934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A-9846-8BDC-6B80D06A8CB7}"/>
            </c:ext>
          </c:extLst>
        </c:ser>
        <c:ser>
          <c:idx val="2"/>
          <c:order val="2"/>
          <c:tx>
            <c:strRef>
              <c:f>Dashboard!$H$8</c:f>
              <c:strCache>
                <c:ptCount val="1"/>
                <c:pt idx="0">
                  <c:v>Net Margin</c:v>
                </c:pt>
              </c:strCache>
            </c:strRef>
          </c:tx>
          <c:val>
            <c:numRef>
              <c:f>Dashboard!$I$8:$M$8</c:f>
              <c:numCache>
                <c:formatCode>0.0%</c:formatCode>
                <c:ptCount val="5"/>
                <c:pt idx="0">
                  <c:v>2.4512162188746869E-2</c:v>
                </c:pt>
                <c:pt idx="1">
                  <c:v>2.4338546740834636E-2</c:v>
                </c:pt>
                <c:pt idx="2">
                  <c:v>1.8472441022167909E-2</c:v>
                </c:pt>
                <c:pt idx="3">
                  <c:v>2.5103182256509159E-2</c:v>
                </c:pt>
                <c:pt idx="4">
                  <c:v>2.9599770920064317E-2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AA-9846-8BDC-6B80D06A8CB7}"/>
            </c:ext>
          </c:extLst>
        </c:ser>
        <c:ser>
          <c:idx val="3"/>
          <c:order val="3"/>
          <c:tx>
            <c:strRef>
              <c:f>Dashboard!$H$9</c:f>
              <c:strCache>
                <c:ptCount val="1"/>
                <c:pt idx="0">
                  <c:v>Current Ratio</c:v>
                </c:pt>
              </c:strCache>
            </c:strRef>
          </c:tx>
          <c:val>
            <c:numRef>
              <c:f>Dashboard!$I$9:$M$9</c:f>
              <c:numCache>
                <c:formatCode>General</c:formatCode>
                <c:ptCount val="5"/>
                <c:pt idx="0" formatCode="0.00\x">
                  <c:v>0.97217334988396564</c:v>
                </c:pt>
                <c:pt idx="1">
                  <c:v>0.92779729683333523</c:v>
                </c:pt>
                <c:pt idx="2">
                  <c:v>0.82057094513980777</c:v>
                </c:pt>
                <c:pt idx="3">
                  <c:v>0.83186712113834338</c:v>
                </c:pt>
                <c:pt idx="4">
                  <c:v>0.82268284602004471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AA-9846-8BDC-6B80D06A8CB7}"/>
            </c:ext>
          </c:extLst>
        </c:ser>
        <c:ser>
          <c:idx val="4"/>
          <c:order val="4"/>
          <c:tx>
            <c:strRef>
              <c:f>Dashboard!$H$10</c:f>
              <c:strCache>
                <c:ptCount val="1"/>
                <c:pt idx="0">
                  <c:v>Debt Ratio</c:v>
                </c:pt>
              </c:strCache>
            </c:strRef>
          </c:tx>
          <c:val>
            <c:numRef>
              <c:f>Dashboard!$I$10:$M$10</c:f>
              <c:numCache>
                <c:formatCode>0.0%</c:formatCode>
                <c:ptCount val="5"/>
                <c:pt idx="0">
                  <c:v>0.65333708256764467</c:v>
                </c:pt>
                <c:pt idx="1">
                  <c:v>0.62472024830515394</c:v>
                </c:pt>
                <c:pt idx="2">
                  <c:v>0.65561252811506721</c:v>
                </c:pt>
                <c:pt idx="3">
                  <c:v>0.6420389938153479</c:v>
                </c:pt>
                <c:pt idx="4">
                  <c:v>0.62648616111309197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AA-9846-8BDC-6B80D06A8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activeCell="L22" sqref="L22"/>
    </sheetView>
  </sheetViews>
  <sheetFormatPr defaultColWidth="8.875" defaultRowHeight="14.1"/>
  <cols>
    <col min="1" max="1" width="36" customWidth="1"/>
    <col min="2" max="6" width="14" customWidth="1"/>
  </cols>
  <sheetData>
    <row r="1" spans="1:26" ht="20.100000000000001" customHeight="1">
      <c r="A1" s="4" t="s">
        <v>0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100000000000001" customHeight="1">
      <c r="A2" s="6"/>
      <c r="B2" s="20" t="s">
        <v>1</v>
      </c>
      <c r="C2" s="20"/>
      <c r="D2" s="20"/>
      <c r="E2" s="20"/>
      <c r="F2" s="2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18" t="s">
        <v>2</v>
      </c>
      <c r="B3" s="18"/>
      <c r="C3" s="18"/>
      <c r="D3" s="18"/>
      <c r="E3" s="18"/>
      <c r="F3" s="1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>
      <c r="A4" s="6" t="s">
        <v>3</v>
      </c>
      <c r="B4" s="7">
        <v>559151</v>
      </c>
      <c r="C4" s="7">
        <v>572754</v>
      </c>
      <c r="D4" s="7">
        <v>611289</v>
      </c>
      <c r="E4" s="7">
        <v>648125</v>
      </c>
      <c r="F4" s="7">
        <v>680985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100000000000001" customHeight="1">
      <c r="A5" s="6" t="s">
        <v>4</v>
      </c>
      <c r="B5" s="7">
        <v>420315</v>
      </c>
      <c r="C5" s="7">
        <v>429000</v>
      </c>
      <c r="D5" s="7">
        <v>463721</v>
      </c>
      <c r="E5" s="7">
        <v>490142</v>
      </c>
      <c r="F5" s="7">
        <v>511753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100000000000001" customHeight="1">
      <c r="A6" s="6" t="s">
        <v>5</v>
      </c>
      <c r="B6" s="7">
        <v>138836</v>
      </c>
      <c r="C6" s="7">
        <v>143754</v>
      </c>
      <c r="D6" s="7">
        <v>147568</v>
      </c>
      <c r="E6" s="7">
        <v>157983</v>
      </c>
      <c r="F6" s="7">
        <v>169232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100000000000001" customHeight="1">
      <c r="A7" s="6" t="s">
        <v>6</v>
      </c>
      <c r="B7" s="7">
        <v>22548</v>
      </c>
      <c r="C7" s="7">
        <v>25942</v>
      </c>
      <c r="D7" s="7">
        <v>20428</v>
      </c>
      <c r="E7" s="7">
        <v>27012</v>
      </c>
      <c r="F7" s="7">
        <v>29348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100000000000001" customHeight="1">
      <c r="A8" s="6" t="s">
        <v>7</v>
      </c>
      <c r="B8" s="7">
        <v>2194</v>
      </c>
      <c r="C8" s="7">
        <v>1836</v>
      </c>
      <c r="D8" s="7">
        <v>1874</v>
      </c>
      <c r="E8" s="7">
        <v>2137</v>
      </c>
      <c r="F8" s="7">
        <v>2245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100000000000001" customHeight="1">
      <c r="A9" s="6" t="s">
        <v>8</v>
      </c>
      <c r="B9" s="7">
        <v>20564</v>
      </c>
      <c r="C9" s="7">
        <v>18696</v>
      </c>
      <c r="D9" s="7">
        <v>17016</v>
      </c>
      <c r="E9" s="7">
        <v>21848</v>
      </c>
      <c r="F9" s="7">
        <v>26309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100000000000001" customHeight="1">
      <c r="A10" s="6" t="s">
        <v>9</v>
      </c>
      <c r="B10" s="7">
        <v>6858</v>
      </c>
      <c r="C10" s="7">
        <v>4756</v>
      </c>
      <c r="D10" s="7">
        <v>5724</v>
      </c>
      <c r="E10" s="7">
        <v>5578</v>
      </c>
      <c r="F10" s="7">
        <v>6152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100000000000001" customHeight="1">
      <c r="A11" s="6" t="s">
        <v>10</v>
      </c>
      <c r="B11" s="7">
        <v>13706</v>
      </c>
      <c r="C11" s="7">
        <v>13940</v>
      </c>
      <c r="D11" s="7">
        <v>11292</v>
      </c>
      <c r="E11" s="7">
        <v>16270</v>
      </c>
      <c r="F11" s="7">
        <v>20157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100000000000001" customHeight="1">
      <c r="A12" s="6"/>
      <c r="B12" s="7"/>
      <c r="C12" s="7"/>
      <c r="D12" s="7"/>
      <c r="E12" s="7"/>
      <c r="F12" s="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100000000000001" customHeight="1">
      <c r="A13" s="18" t="s">
        <v>11</v>
      </c>
      <c r="B13" s="19"/>
      <c r="C13" s="19"/>
      <c r="D13" s="19"/>
      <c r="E13" s="19"/>
      <c r="F13" s="1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100000000000001" customHeight="1">
      <c r="A14" s="6" t="s">
        <v>12</v>
      </c>
      <c r="B14" s="7">
        <v>17741</v>
      </c>
      <c r="C14" s="7">
        <v>14760</v>
      </c>
      <c r="D14" s="7">
        <v>8625</v>
      </c>
      <c r="E14" s="7">
        <v>9867</v>
      </c>
      <c r="F14" s="7">
        <v>9037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100000000000001" customHeight="1">
      <c r="A15" s="6" t="s">
        <v>13</v>
      </c>
      <c r="B15" s="7">
        <v>6516</v>
      </c>
      <c r="C15" s="7">
        <v>8280</v>
      </c>
      <c r="D15" s="7">
        <v>7933</v>
      </c>
      <c r="E15" s="7">
        <v>8796</v>
      </c>
      <c r="F15" s="7">
        <v>9975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100000000000001" customHeight="1">
      <c r="A16" s="6" t="s">
        <v>14</v>
      </c>
      <c r="B16" s="7">
        <v>44949</v>
      </c>
      <c r="C16" s="7">
        <v>56511</v>
      </c>
      <c r="D16" s="7">
        <v>56576</v>
      </c>
      <c r="E16" s="7">
        <v>54892</v>
      </c>
      <c r="F16" s="7">
        <v>56435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100000000000001" customHeight="1">
      <c r="A17" s="6" t="s">
        <v>15</v>
      </c>
      <c r="B17" s="7">
        <v>90067</v>
      </c>
      <c r="C17" s="7">
        <v>81070</v>
      </c>
      <c r="D17" s="7">
        <v>75655</v>
      </c>
      <c r="E17" s="7">
        <v>76877</v>
      </c>
      <c r="F17" s="7">
        <v>79458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100000000000001" customHeight="1">
      <c r="A18" s="6" t="s">
        <v>16</v>
      </c>
      <c r="B18" s="7">
        <v>92201</v>
      </c>
      <c r="C18" s="7">
        <v>94515</v>
      </c>
      <c r="D18" s="7">
        <v>100760</v>
      </c>
      <c r="E18" s="7">
        <v>110810</v>
      </c>
      <c r="F18" s="7">
        <v>119993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100000000000001" customHeight="1">
      <c r="A19" s="6" t="s">
        <v>17</v>
      </c>
      <c r="B19" s="7">
        <v>28983</v>
      </c>
      <c r="C19" s="7">
        <v>29014</v>
      </c>
      <c r="D19" s="7">
        <v>28174</v>
      </c>
      <c r="E19" s="7">
        <v>28113</v>
      </c>
      <c r="F19" s="7">
        <v>28792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100000000000001" customHeight="1">
      <c r="A20" s="6" t="s">
        <v>18</v>
      </c>
      <c r="B20" s="7">
        <v>252496</v>
      </c>
      <c r="C20" s="7">
        <v>244860</v>
      </c>
      <c r="D20" s="7">
        <v>243197</v>
      </c>
      <c r="E20" s="7">
        <v>252399</v>
      </c>
      <c r="F20" s="7">
        <v>260823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100000000000001" customHeight="1">
      <c r="A21" s="6"/>
      <c r="B21" s="7"/>
      <c r="C21" s="7"/>
      <c r="D21" s="7"/>
      <c r="E21" s="7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100000000000001" customHeight="1">
      <c r="A22" s="18" t="s">
        <v>19</v>
      </c>
      <c r="B22" s="19"/>
      <c r="C22" s="19"/>
      <c r="D22" s="19"/>
      <c r="E22" s="19"/>
      <c r="F22" s="1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100000000000001" customHeight="1">
      <c r="A23" s="6" t="s">
        <v>20</v>
      </c>
      <c r="B23" s="7">
        <v>49141</v>
      </c>
      <c r="C23" s="7">
        <v>55261</v>
      </c>
      <c r="D23" s="7">
        <v>53742</v>
      </c>
      <c r="E23" s="7">
        <v>56812</v>
      </c>
      <c r="F23" s="7">
        <v>58666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100000000000001" customHeight="1">
      <c r="A24" s="6" t="s">
        <v>21</v>
      </c>
      <c r="B24" s="7">
        <v>224</v>
      </c>
      <c r="C24" s="7">
        <v>410</v>
      </c>
      <c r="D24" s="7">
        <v>372</v>
      </c>
      <c r="E24" s="7">
        <v>878</v>
      </c>
      <c r="F24" s="7">
        <v>3068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100000000000001" customHeight="1">
      <c r="A25" s="6" t="s">
        <v>22</v>
      </c>
      <c r="B25" s="7">
        <v>3115</v>
      </c>
      <c r="C25" s="7">
        <v>2803</v>
      </c>
      <c r="D25" s="7">
        <v>4191</v>
      </c>
      <c r="E25" s="7">
        <v>3447</v>
      </c>
      <c r="F25" s="7">
        <v>2598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100000000000001" customHeight="1">
      <c r="A26" s="6" t="s">
        <v>23</v>
      </c>
      <c r="B26" s="7">
        <v>92645</v>
      </c>
      <c r="C26" s="7">
        <v>87379</v>
      </c>
      <c r="D26" s="7">
        <v>92198</v>
      </c>
      <c r="E26" s="7">
        <v>92415</v>
      </c>
      <c r="F26" s="7">
        <v>96584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100000000000001" customHeight="1">
      <c r="A27" s="6" t="s">
        <v>24</v>
      </c>
      <c r="B27" s="7">
        <v>41194</v>
      </c>
      <c r="C27" s="7">
        <v>34864</v>
      </c>
      <c r="D27" s="7">
        <v>34649</v>
      </c>
      <c r="E27" s="7">
        <v>36132</v>
      </c>
      <c r="F27" s="7">
        <v>33401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100000000000001" customHeight="1">
      <c r="A28" s="6" t="s">
        <v>25</v>
      </c>
      <c r="B28" s="7">
        <v>164965</v>
      </c>
      <c r="C28" s="7">
        <v>152969</v>
      </c>
      <c r="D28" s="7">
        <v>159443</v>
      </c>
      <c r="E28" s="7">
        <v>162050</v>
      </c>
      <c r="F28" s="7">
        <v>163402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100000000000001" customHeight="1">
      <c r="A29" s="6"/>
      <c r="B29" s="7"/>
      <c r="C29" s="7"/>
      <c r="D29" s="7"/>
      <c r="E29" s="7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100000000000001" customHeight="1">
      <c r="A30" s="18" t="s">
        <v>26</v>
      </c>
      <c r="B30" s="19"/>
      <c r="C30" s="19"/>
      <c r="D30" s="19"/>
      <c r="E30" s="19"/>
      <c r="F30" s="1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100000000000001" customHeight="1">
      <c r="A31" s="6" t="s">
        <v>27</v>
      </c>
      <c r="B31" s="7">
        <v>88763</v>
      </c>
      <c r="C31" s="7">
        <v>86904</v>
      </c>
      <c r="D31" s="7">
        <v>83135</v>
      </c>
      <c r="E31" s="7">
        <v>89814</v>
      </c>
      <c r="F31" s="7">
        <v>98313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100000000000001" customHeight="1">
      <c r="A32" s="6" t="s">
        <v>28</v>
      </c>
      <c r="B32" s="7">
        <v>80925</v>
      </c>
      <c r="C32" s="7">
        <v>83253</v>
      </c>
      <c r="D32" s="7">
        <v>76693</v>
      </c>
      <c r="E32" s="7">
        <v>83861</v>
      </c>
      <c r="F32" s="7">
        <v>91013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>
      <c r="A33" s="6" t="s">
        <v>29</v>
      </c>
      <c r="B33" s="7">
        <v>87531</v>
      </c>
      <c r="C33" s="7">
        <v>91891</v>
      </c>
      <c r="D33" s="7">
        <v>83754</v>
      </c>
      <c r="E33" s="7">
        <v>90349</v>
      </c>
      <c r="F33" s="7">
        <v>97421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>
      <c r="A34" s="6"/>
      <c r="B34" s="7"/>
      <c r="C34" s="7"/>
      <c r="D34" s="7"/>
      <c r="E34" s="7"/>
      <c r="F34" s="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>
      <c r="A35" s="18" t="s">
        <v>30</v>
      </c>
      <c r="B35" s="19"/>
      <c r="C35" s="19"/>
      <c r="D35" s="19"/>
      <c r="E35" s="19"/>
      <c r="F35" s="1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>
      <c r="A36" s="6" t="s">
        <v>31</v>
      </c>
      <c r="B36" s="7">
        <v>36074</v>
      </c>
      <c r="C36" s="7">
        <v>24181</v>
      </c>
      <c r="D36" s="7">
        <v>28841</v>
      </c>
      <c r="E36" s="7">
        <v>35726</v>
      </c>
      <c r="F36" s="7">
        <v>36443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>
      <c r="A37" s="6" t="s">
        <v>32</v>
      </c>
      <c r="B37" s="7">
        <v>-10264</v>
      </c>
      <c r="C37" s="7">
        <v>-13106</v>
      </c>
      <c r="D37" s="7">
        <v>-16857</v>
      </c>
      <c r="E37" s="7">
        <v>-20606</v>
      </c>
      <c r="F37" s="7">
        <v>-23783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>
      <c r="A38" s="6" t="s">
        <v>33</v>
      </c>
      <c r="B38" s="7">
        <v>11152</v>
      </c>
      <c r="C38" s="7">
        <v>10658</v>
      </c>
      <c r="D38" s="7">
        <v>10945</v>
      </c>
      <c r="E38" s="7">
        <v>11853</v>
      </c>
      <c r="F38" s="7">
        <v>12973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>
      <c r="A39" s="6" t="s">
        <v>34</v>
      </c>
      <c r="B39" s="7">
        <v>-6116</v>
      </c>
      <c r="C39" s="7">
        <v>-6152</v>
      </c>
      <c r="D39" s="7">
        <v>-6114</v>
      </c>
      <c r="E39" s="7">
        <v>-6140</v>
      </c>
      <c r="F39" s="7">
        <v>-6688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>
      <c r="A40" s="6"/>
      <c r="B40" s="7"/>
      <c r="C40" s="7"/>
      <c r="D40" s="7"/>
      <c r="E40" s="7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>
      <c r="A41" s="18" t="s">
        <v>35</v>
      </c>
      <c r="B41" s="19"/>
      <c r="C41" s="19"/>
      <c r="D41" s="19"/>
      <c r="E41" s="19"/>
      <c r="F41" s="1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>
      <c r="A42" s="6" t="s">
        <v>36</v>
      </c>
      <c r="B42" s="7">
        <v>180571</v>
      </c>
      <c r="C42" s="7">
        <v>189324</v>
      </c>
      <c r="D42" s="7">
        <v>202370</v>
      </c>
      <c r="E42" s="7">
        <v>219859</v>
      </c>
      <c r="F42" s="7">
        <v>231617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100000000000001" customHeight="1">
      <c r="A43" s="6" t="s">
        <v>37</v>
      </c>
      <c r="B43" s="7">
        <v>-88370</v>
      </c>
      <c r="C43" s="7">
        <v>-94809</v>
      </c>
      <c r="D43" s="7">
        <v>-101610</v>
      </c>
      <c r="E43" s="7">
        <v>-109049</v>
      </c>
      <c r="F43" s="7">
        <v>-111624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100000000000001" customHeight="1">
      <c r="A44" s="6" t="s">
        <v>38</v>
      </c>
      <c r="B44" s="7">
        <v>92201</v>
      </c>
      <c r="C44" s="7">
        <v>94515</v>
      </c>
      <c r="D44" s="7">
        <v>100760</v>
      </c>
      <c r="E44" s="7">
        <v>110810</v>
      </c>
      <c r="F44" s="7">
        <v>119993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10000000000000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10000000000000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10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.10000000000000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10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10000000000000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10000000000000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10000000000000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10000000000000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10000000000000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10000000000000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10000000000000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10000000000000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10000000000000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10000000000000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10000000000000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10000000000000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10000000000000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10000000000000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10000000000000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10000000000000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10000000000000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10000000000000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10000000000000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10000000000000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10000000000000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10000000000000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10000000000000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10000000000000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10000000000000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10000000000000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10000000000000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10000000000000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10000000000000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10000000000000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10000000000000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10000000000000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10000000000000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10000000000000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10000000000000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10000000000000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10000000000000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10000000000000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10000000000000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10000000000000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10000000000000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10000000000000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10000000000000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10000000000000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10000000000000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10000000000000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10000000000000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10000000000000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10000000000000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10000000000000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10000000000000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10000000000000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10000000000000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10000000000000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10000000000000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10000000000000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10000000000000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10000000000000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10000000000000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10000000000000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10000000000000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10000000000000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10000000000000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10000000000000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10000000000000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10000000000000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10000000000000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10000000000000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10000000000000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10000000000000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10000000000000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10000000000000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10000000000000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10000000000000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10000000000000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10000000000000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10000000000000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10000000000000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10000000000000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10000000000000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10000000000000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10000000000000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10000000000000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10000000000000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10000000000000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10000000000000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10000000000000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10000000000000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10000000000000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10000000000000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10000000000000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10000000000000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10000000000000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10000000000000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10000000000000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10000000000000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10000000000000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10000000000000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10000000000000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10000000000000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10000000000000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10000000000000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10000000000000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10000000000000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10000000000000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10000000000000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10000000000000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10000000000000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10000000000000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10000000000000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10000000000000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10000000000000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10000000000000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10000000000000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10000000000000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10000000000000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10000000000000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10000000000000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7">
    <mergeCell ref="A35:F35"/>
    <mergeCell ref="A41:F41"/>
    <mergeCell ref="B2:F2"/>
    <mergeCell ref="A3:F3"/>
    <mergeCell ref="A13:F13"/>
    <mergeCell ref="A22:F22"/>
    <mergeCell ref="A30:F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C27" sqref="C27"/>
    </sheetView>
  </sheetViews>
  <sheetFormatPr defaultColWidth="8.875" defaultRowHeight="14.1"/>
  <cols>
    <col min="1" max="1" width="34" customWidth="1"/>
    <col min="2" max="6" width="14" customWidth="1"/>
  </cols>
  <sheetData>
    <row r="1" spans="1:26" ht="20.100000000000001" customHeight="1">
      <c r="A1" s="8" t="s">
        <v>39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100000000000001" customHeight="1">
      <c r="A2" s="21" t="s">
        <v>40</v>
      </c>
      <c r="B2" s="21"/>
      <c r="C2" s="21"/>
      <c r="D2" s="21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9" t="s">
        <v>41</v>
      </c>
      <c r="B3" s="10"/>
      <c r="C3" s="10">
        <f>'Raw Data'!C$4/'Raw Data'!B$4-1</f>
        <v>2.4327954345069625E-2</v>
      </c>
      <c r="D3" s="10">
        <f>'Raw Data'!D$4/'Raw Data'!C$4-1</f>
        <v>6.7280193590965709E-2</v>
      </c>
      <c r="E3" s="10">
        <f>'Raw Data'!E$4/'Raw Data'!D$4-1</f>
        <v>6.02595499019285E-2</v>
      </c>
      <c r="F3" s="10">
        <f>'Raw Data'!F$4/'Raw Data'!E$4-1</f>
        <v>5.0700096432015451E-2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>
      <c r="A4" s="21" t="s">
        <v>42</v>
      </c>
      <c r="B4" s="21"/>
      <c r="C4" s="21"/>
      <c r="D4" s="21"/>
      <c r="E4" s="21"/>
      <c r="F4" s="2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100000000000001" customHeight="1">
      <c r="A5" s="9" t="s">
        <v>43</v>
      </c>
      <c r="B5" s="10">
        <f>'Raw Data'!B$6/'Raw Data'!B$4</f>
        <v>0.24829786587165184</v>
      </c>
      <c r="C5" s="10">
        <f>'Raw Data'!C$6/'Raw Data'!C$4</f>
        <v>0.25098733487675334</v>
      </c>
      <c r="D5" s="10">
        <f>'Raw Data'!D$6/'Raw Data'!D$4</f>
        <v>0.24140463839525986</v>
      </c>
      <c r="E5" s="10">
        <f>'Raw Data'!E$6/'Raw Data'!E$4</f>
        <v>0.24375390549662487</v>
      </c>
      <c r="F5" s="10">
        <f>'Raw Data'!F$6/'Raw Data'!F$4</f>
        <v>0.24851061330278934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100000000000001" customHeight="1">
      <c r="A6" s="9" t="s">
        <v>44</v>
      </c>
      <c r="B6" s="10">
        <f>'Raw Data'!B$7/'Raw Data'!B$4</f>
        <v>4.032542193432543E-2</v>
      </c>
      <c r="C6" s="10">
        <f>'Raw Data'!C$7/'Raw Data'!C$4</f>
        <v>4.5293441861602016E-2</v>
      </c>
      <c r="D6" s="10">
        <f>'Raw Data'!D$7/'Raw Data'!D$4</f>
        <v>3.3417908714208827E-2</v>
      </c>
      <c r="E6" s="10">
        <f>'Raw Data'!E$7/'Raw Data'!E$4</f>
        <v>4.16771456123433E-2</v>
      </c>
      <c r="F6" s="10">
        <f>'Raw Data'!F$7/'Raw Data'!F$4</f>
        <v>4.3096397130626962E-2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100000000000001" customHeight="1">
      <c r="A7" s="9" t="s">
        <v>45</v>
      </c>
      <c r="B7" s="10">
        <f>'Raw Data'!B$11/'Raw Data'!B$4</f>
        <v>2.4512162188746869E-2</v>
      </c>
      <c r="C7" s="10">
        <f>'Raw Data'!C$11/'Raw Data'!C$4</f>
        <v>2.4338546740834636E-2</v>
      </c>
      <c r="D7" s="10">
        <f>'Raw Data'!D$11/'Raw Data'!D$4</f>
        <v>1.8472441022167909E-2</v>
      </c>
      <c r="E7" s="10">
        <f>'Raw Data'!E$11/'Raw Data'!E$4</f>
        <v>2.5103182256509159E-2</v>
      </c>
      <c r="F7" s="10">
        <f>'Raw Data'!F$11/'Raw Data'!F$4</f>
        <v>2.9599770920064317E-2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100000000000001" customHeight="1">
      <c r="A8" s="9" t="s">
        <v>46</v>
      </c>
      <c r="B8" s="10"/>
      <c r="C8" s="10">
        <f>'Raw Data'!C$11/AVERAGE('Raw Data'!C$20,'Raw Data'!B$20)</f>
        <v>5.6056426382711778E-2</v>
      </c>
      <c r="D8" s="10">
        <f>'Raw Data'!D$11/AVERAGE('Raw Data'!D$20,'Raw Data'!C$20)</f>
        <v>4.6273283653343766E-2</v>
      </c>
      <c r="E8" s="10">
        <f>'Raw Data'!E$11/AVERAGE('Raw Data'!E$20,'Raw Data'!D$20)</f>
        <v>6.5658318469075619E-2</v>
      </c>
      <c r="F8" s="10">
        <f>'Raw Data'!F$11/AVERAGE('Raw Data'!F$20,'Raw Data'!E$20)</f>
        <v>7.8550802576662734E-2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100000000000001" customHeight="1">
      <c r="A9" s="9" t="s">
        <v>47</v>
      </c>
      <c r="B9" s="10"/>
      <c r="C9" s="10">
        <f>'Raw Data'!C$11/AVERAGE('Raw Data'!C$33,'Raw Data'!B$33)</f>
        <v>0.15538785656162565</v>
      </c>
      <c r="D9" s="10">
        <f>'Raw Data'!D$11/AVERAGE('Raw Data'!D$33,'Raw Data'!C$33)</f>
        <v>0.12857752853767543</v>
      </c>
      <c r="E9" s="10">
        <f>'Raw Data'!E$11/AVERAGE('Raw Data'!E$33,'Raw Data'!D$33)</f>
        <v>0.18690085753835373</v>
      </c>
      <c r="F9" s="10">
        <f>'Raw Data'!F$11/AVERAGE('Raw Data'!F$33,'Raw Data'!E$33)</f>
        <v>0.21469883367950152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100000000000001" customHeight="1">
      <c r="A10" s="21" t="s">
        <v>48</v>
      </c>
      <c r="B10" s="21"/>
      <c r="C10" s="21"/>
      <c r="D10" s="21"/>
      <c r="E10" s="21"/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100000000000001" customHeight="1">
      <c r="A11" s="9" t="s">
        <v>49</v>
      </c>
      <c r="B11" s="11">
        <f>'Raw Data'!B$17/'Raw Data'!B$26</f>
        <v>0.97217334988396564</v>
      </c>
      <c r="C11" s="11">
        <f>'Raw Data'!C$17/'Raw Data'!C$26</f>
        <v>0.92779729683333523</v>
      </c>
      <c r="D11" s="11">
        <f>'Raw Data'!D$17/'Raw Data'!D$26</f>
        <v>0.82057094513980777</v>
      </c>
      <c r="E11" s="11">
        <f>'Raw Data'!E$17/'Raw Data'!E$26</f>
        <v>0.83186712113834338</v>
      </c>
      <c r="F11" s="11">
        <f>'Raw Data'!F$17/'Raw Data'!F$26</f>
        <v>0.82268284602004471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100000000000001" customHeight="1">
      <c r="A12" s="9" t="s">
        <v>50</v>
      </c>
      <c r="B12" s="11">
        <f>('Raw Data'!B$14+'Raw Data'!B$15)/'Raw Data'!B$26</f>
        <v>0.26182740568838037</v>
      </c>
      <c r="C12" s="11">
        <f>('Raw Data'!C$14+'Raw Data'!C$15)/'Raw Data'!C$26</f>
        <v>0.2636789159866787</v>
      </c>
      <c r="D12" s="11">
        <f>('Raw Data'!D$14+'Raw Data'!D$15)/'Raw Data'!D$26</f>
        <v>0.17959174819410401</v>
      </c>
      <c r="E12" s="11">
        <f>('Raw Data'!E$14+'Raw Data'!E$15)/'Raw Data'!E$26</f>
        <v>0.20194773575718228</v>
      </c>
      <c r="F12" s="11">
        <f>('Raw Data'!F$14+'Raw Data'!F$15)/'Raw Data'!F$26</f>
        <v>0.19684419779673651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100000000000001" customHeight="1">
      <c r="A13" s="21" t="s">
        <v>51</v>
      </c>
      <c r="B13" s="21"/>
      <c r="C13" s="21"/>
      <c r="D13" s="21"/>
      <c r="E13" s="21"/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100000000000001" customHeight="1">
      <c r="A14" s="9" t="s">
        <v>52</v>
      </c>
      <c r="B14" s="10">
        <f>'Raw Data'!B$28/'Raw Data'!B$20</f>
        <v>0.65333708256764467</v>
      </c>
      <c r="C14" s="10">
        <f>'Raw Data'!C$28/'Raw Data'!C$20</f>
        <v>0.62472024830515394</v>
      </c>
      <c r="D14" s="10">
        <f>'Raw Data'!D$28/'Raw Data'!D$20</f>
        <v>0.65561252811506721</v>
      </c>
      <c r="E14" s="10">
        <f>'Raw Data'!E$28/'Raw Data'!E$20</f>
        <v>0.6420389938153479</v>
      </c>
      <c r="F14" s="10">
        <f>'Raw Data'!F$28/'Raw Data'!F$20</f>
        <v>0.62648616111309197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100000000000001" customHeight="1">
      <c r="A15" s="9" t="s">
        <v>53</v>
      </c>
      <c r="B15" s="11">
        <f>'Raw Data'!B$28/'Raw Data'!B$33</f>
        <v>1.8846465823536804</v>
      </c>
      <c r="C15" s="11">
        <f>'Raw Data'!C$28/'Raw Data'!C$33</f>
        <v>1.6646788042354528</v>
      </c>
      <c r="D15" s="11">
        <f>'Raw Data'!D$28/'Raw Data'!D$33</f>
        <v>1.903706091649354</v>
      </c>
      <c r="E15" s="11">
        <f>'Raw Data'!E$28/'Raw Data'!E$33</f>
        <v>1.7936003718912219</v>
      </c>
      <c r="F15" s="11">
        <f>'Raw Data'!F$28/'Raw Data'!F$33</f>
        <v>1.6772769731372086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100000000000001" customHeight="1">
      <c r="A16" s="21" t="s">
        <v>54</v>
      </c>
      <c r="B16" s="21"/>
      <c r="C16" s="21"/>
      <c r="D16" s="21"/>
      <c r="E16" s="21"/>
      <c r="F16" s="2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100000000000001" customHeight="1">
      <c r="A17" s="9" t="s">
        <v>55</v>
      </c>
      <c r="B17" s="11"/>
      <c r="C17" s="11">
        <f>'Raw Data'!C$4/AVERAGE('Raw Data'!C$20,'Raw Data'!B$20)</f>
        <v>2.3031952967291036</v>
      </c>
      <c r="D17" s="11">
        <f>'Raw Data'!D$4/AVERAGE('Raw Data'!D$20,'Raw Data'!C$20)</f>
        <v>2.504990195817292</v>
      </c>
      <c r="E17" s="11">
        <f>'Raw Data'!E$4/AVERAGE('Raw Data'!E$20,'Raw Data'!D$20)</f>
        <v>2.6155376556711514</v>
      </c>
      <c r="F17" s="11">
        <f>'Raw Data'!F$4/AVERAGE('Raw Data'!F$20,'Raw Data'!E$20)</f>
        <v>2.6537638682675335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100000000000001" customHeight="1">
      <c r="A18" s="9" t="s">
        <v>56</v>
      </c>
      <c r="B18" s="11"/>
      <c r="C18" s="11">
        <f>'Raw Data'!C$5/AVERAGE('Raw Data'!C$16,'Raw Data'!B$16)</f>
        <v>8.4565345949142525</v>
      </c>
      <c r="D18" s="11">
        <f>'Raw Data'!D$5/AVERAGE('Raw Data'!D$16,'Raw Data'!C$16)</f>
        <v>8.2011371775712512</v>
      </c>
      <c r="E18" s="11">
        <f>'Raw Data'!E$5/AVERAGE('Raw Data'!E$16,'Raw Data'!D$16)</f>
        <v>8.794308680518176</v>
      </c>
      <c r="F18" s="11">
        <f>'Raw Data'!F$5/AVERAGE('Raw Data'!F$16,'Raw Data'!E$16)</f>
        <v>9.1936906590494676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100000000000001" customHeight="1">
      <c r="A19" s="21" t="s">
        <v>57</v>
      </c>
      <c r="B19" s="21"/>
      <c r="C19" s="21"/>
      <c r="D19" s="21"/>
      <c r="E19" s="21"/>
      <c r="F19" s="2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100000000000001" customHeight="1">
      <c r="A20" s="9" t="s">
        <v>58</v>
      </c>
      <c r="B20" s="11">
        <f>'Raw Data'!B$36/'Raw Data'!B$11</f>
        <v>2.6319859915365535</v>
      </c>
      <c r="C20" s="11">
        <f>'Raw Data'!C$36/'Raw Data'!C$11</f>
        <v>1.7346484935437589</v>
      </c>
      <c r="D20" s="11">
        <f>'Raw Data'!D$36/'Raw Data'!D$11</f>
        <v>2.5541091037902941</v>
      </c>
      <c r="E20" s="11">
        <f>'Raw Data'!E$36/'Raw Data'!E$11</f>
        <v>2.1958205285802088</v>
      </c>
      <c r="F20" s="11">
        <f>'Raw Data'!F$36/'Raw Data'!F$11</f>
        <v>1.8079575333630997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100000000000001" customHeight="1">
      <c r="A21" s="9" t="s">
        <v>59</v>
      </c>
      <c r="B21" s="12">
        <f>'Raw Data'!B$36-ABS('Raw Data'!B$37)</f>
        <v>25810</v>
      </c>
      <c r="C21" s="12">
        <f>'Raw Data'!C$36-ABS('Raw Data'!C$37)</f>
        <v>11075</v>
      </c>
      <c r="D21" s="12">
        <f>'Raw Data'!D$36-ABS('Raw Data'!D$37)</f>
        <v>11984</v>
      </c>
      <c r="E21" s="12">
        <f>'Raw Data'!E$36-ABS('Raw Data'!E$37)</f>
        <v>15120</v>
      </c>
      <c r="F21" s="12">
        <f>'Raw Data'!F$36-ABS('Raw Data'!F$37)</f>
        <v>12660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100000000000001" customHeight="1">
      <c r="A22" s="22"/>
      <c r="B22" s="2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100000000000001" customHeight="1">
      <c r="A23" s="22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100000000000001" customHeight="1">
      <c r="A24" s="22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100000000000001" customHeight="1">
      <c r="A25" s="22"/>
      <c r="B25" s="2"/>
      <c r="C25" s="2"/>
      <c r="D25" s="2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100000000000001" customHeight="1">
      <c r="A26" s="22"/>
      <c r="B26" s="2"/>
      <c r="C26" s="2"/>
      <c r="D26" s="2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100000000000001" customHeight="1">
      <c r="A27" s="22"/>
      <c r="B27" s="2"/>
      <c r="C27" s="2"/>
      <c r="D27" s="2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100000000000001" customHeight="1">
      <c r="A28" s="22"/>
      <c r="B28" s="2"/>
      <c r="C28" s="2"/>
      <c r="D28" s="2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100000000000001" customHeight="1">
      <c r="A29" s="22"/>
      <c r="B29" s="2"/>
      <c r="C29" s="2"/>
      <c r="D29" s="2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100000000000001" customHeight="1">
      <c r="A30" s="22"/>
      <c r="B30" s="2"/>
      <c r="C30" s="2"/>
      <c r="D30" s="2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100000000000001" customHeight="1">
      <c r="A31" s="22"/>
      <c r="B31" s="2"/>
      <c r="C31" s="2"/>
      <c r="D31" s="2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100000000000001" customHeight="1">
      <c r="A32" s="22"/>
      <c r="B32" s="2"/>
      <c r="C32" s="2"/>
      <c r="D32" s="2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>
      <c r="A33" s="22"/>
      <c r="B33" s="2"/>
      <c r="C33" s="2"/>
      <c r="D33" s="2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>
      <c r="A34" s="22"/>
      <c r="B34" s="2"/>
      <c r="C34" s="2"/>
      <c r="D34" s="2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>
      <c r="A35" s="22"/>
      <c r="B35" s="2"/>
      <c r="C35" s="2"/>
      <c r="D35" s="2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>
      <c r="A36" s="22"/>
      <c r="B36" s="2"/>
      <c r="C36" s="2"/>
      <c r="D36" s="2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>
      <c r="A37" s="22"/>
      <c r="B37" s="2"/>
      <c r="C37" s="2"/>
      <c r="D37" s="2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>
      <c r="A38" s="22"/>
      <c r="B38" s="2"/>
      <c r="C38" s="2"/>
      <c r="D38" s="2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>
      <c r="A39" s="22"/>
      <c r="B39" s="2"/>
      <c r="C39" s="2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>
      <c r="A40" s="22"/>
      <c r="B40" s="2"/>
      <c r="C40" s="2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>
      <c r="A41" s="22"/>
      <c r="B41" s="2"/>
      <c r="C41" s="2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>
      <c r="A42" s="22"/>
      <c r="B42" s="2"/>
      <c r="C42" s="2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100000000000001" customHeight="1">
      <c r="A43" s="22"/>
      <c r="B43" s="2"/>
      <c r="C43" s="2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100000000000001" customHeight="1">
      <c r="A44" s="22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100000000000001" customHeight="1">
      <c r="A45" s="22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100000000000001" customHeight="1">
      <c r="A46" s="22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100000000000001" customHeight="1">
      <c r="A47" s="22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100000000000001" customHeight="1">
      <c r="A48" s="22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100000000000001" customHeight="1">
      <c r="A49" s="22"/>
      <c r="B49" s="2"/>
      <c r="C49" s="2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100000000000001" customHeight="1">
      <c r="A50" s="22"/>
      <c r="B50" s="2"/>
      <c r="C50" s="2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10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.10000000000000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10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10000000000000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10000000000000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10000000000000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10000000000000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10000000000000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10000000000000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10000000000000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10000000000000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10000000000000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10000000000000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10000000000000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10000000000000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10000000000000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10000000000000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10000000000000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10000000000000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10000000000000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10000000000000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10000000000000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10000000000000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10000000000000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10000000000000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10000000000000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10000000000000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10000000000000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10000000000000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10000000000000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10000000000000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10000000000000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10000000000000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10000000000000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10000000000000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10000000000000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10000000000000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10000000000000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10000000000000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10000000000000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10000000000000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10000000000000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10000000000000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10000000000000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10000000000000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10000000000000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10000000000000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10000000000000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10000000000000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10000000000000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10000000000000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10000000000000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10000000000000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10000000000000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10000000000000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10000000000000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10000000000000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10000000000000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10000000000000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10000000000000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10000000000000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10000000000000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10000000000000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10000000000000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10000000000000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10000000000000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10000000000000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10000000000000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10000000000000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10000000000000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10000000000000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10000000000000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10000000000000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10000000000000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10000000000000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10000000000000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10000000000000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10000000000000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10000000000000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10000000000000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10000000000000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10000000000000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10000000000000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10000000000000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10000000000000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10000000000000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10000000000000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10000000000000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10000000000000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10000000000000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10000000000000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10000000000000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10000000000000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10000000000000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10000000000000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10000000000000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10000000000000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10000000000000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10000000000000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10000000000000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10000000000000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10000000000000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10000000000000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10000000000000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10000000000000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10000000000000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10000000000000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10000000000000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10000000000000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10000000000000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10000000000000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10000000000000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10000000000000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10000000000000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10000000000000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10000000000000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10000000000000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10000000000000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10000000000000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10000000000000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10000000000000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6">
    <mergeCell ref="A19:F19"/>
    <mergeCell ref="A2:F2"/>
    <mergeCell ref="A4:F4"/>
    <mergeCell ref="A10:F10"/>
    <mergeCell ref="A13:F13"/>
    <mergeCell ref="A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A21" sqref="A21"/>
    </sheetView>
  </sheetViews>
  <sheetFormatPr defaultColWidth="8.875" defaultRowHeight="14.1"/>
  <cols>
    <col min="1" max="1" width="34" customWidth="1"/>
    <col min="2" max="6" width="14" customWidth="1"/>
  </cols>
  <sheetData>
    <row r="1" spans="1:26" ht="20.100000000000001" customHeight="1">
      <c r="A1" s="5" t="s">
        <v>60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100000000000001" customHeight="1">
      <c r="A2" s="6" t="s">
        <v>3</v>
      </c>
      <c r="B2" s="13"/>
      <c r="C2" s="13">
        <f>'Raw Data'!C$4-'Raw Data'!B$4</f>
        <v>13603</v>
      </c>
      <c r="D2" s="13">
        <f>'Raw Data'!D$4-'Raw Data'!C$4</f>
        <v>38535</v>
      </c>
      <c r="E2" s="13">
        <f>'Raw Data'!E$4-'Raw Data'!D$4</f>
        <v>36836</v>
      </c>
      <c r="F2" s="13">
        <f>'Raw Data'!F$4-'Raw Data'!E$4</f>
        <v>32860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6" t="s">
        <v>5</v>
      </c>
      <c r="B3" s="13"/>
      <c r="C3" s="13">
        <f>'Raw Data'!C$6-'Raw Data'!B$6</f>
        <v>4918</v>
      </c>
      <c r="D3" s="13">
        <f>'Raw Data'!D$6-'Raw Data'!C$6</f>
        <v>3814</v>
      </c>
      <c r="E3" s="13">
        <f>'Raw Data'!E$6-'Raw Data'!D$6</f>
        <v>10415</v>
      </c>
      <c r="F3" s="13">
        <f>'Raw Data'!F$6-'Raw Data'!E$6</f>
        <v>11249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>
      <c r="A4" s="6" t="s">
        <v>6</v>
      </c>
      <c r="B4" s="13"/>
      <c r="C4" s="13">
        <f>'Raw Data'!C$7-'Raw Data'!B$7</f>
        <v>3394</v>
      </c>
      <c r="D4" s="13">
        <f>'Raw Data'!D$7-'Raw Data'!C$7</f>
        <v>-5514</v>
      </c>
      <c r="E4" s="13">
        <f>'Raw Data'!E$7-'Raw Data'!D$7</f>
        <v>6584</v>
      </c>
      <c r="F4" s="13">
        <f>'Raw Data'!F$7-'Raw Data'!E$7</f>
        <v>2336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100000000000001" customHeight="1">
      <c r="A5" s="6" t="s">
        <v>10</v>
      </c>
      <c r="B5" s="13"/>
      <c r="C5" s="13">
        <f>'Raw Data'!C$11-'Raw Data'!B$11</f>
        <v>234</v>
      </c>
      <c r="D5" s="13">
        <f>'Raw Data'!D$11-'Raw Data'!C$11</f>
        <v>-2648</v>
      </c>
      <c r="E5" s="13">
        <f>'Raw Data'!E$11-'Raw Data'!D$11</f>
        <v>4978</v>
      </c>
      <c r="F5" s="13">
        <f>'Raw Data'!F$11-'Raw Data'!E$11</f>
        <v>3887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100000000000001" customHeight="1">
      <c r="A6" s="6" t="s">
        <v>18</v>
      </c>
      <c r="B6" s="13"/>
      <c r="C6" s="13">
        <f>'Raw Data'!C$20-'Raw Data'!B$20</f>
        <v>-7636</v>
      </c>
      <c r="D6" s="13">
        <f>'Raw Data'!D$20-'Raw Data'!C$20</f>
        <v>-1663</v>
      </c>
      <c r="E6" s="13">
        <f>'Raw Data'!E$20-'Raw Data'!D$20</f>
        <v>9202</v>
      </c>
      <c r="F6" s="13">
        <f>'Raw Data'!F$20-'Raw Data'!E$20</f>
        <v>8424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100000000000001" customHeight="1">
      <c r="A7" s="6" t="s">
        <v>25</v>
      </c>
      <c r="B7" s="13"/>
      <c r="C7" s="13">
        <f>'Raw Data'!C$28-'Raw Data'!B$28</f>
        <v>-11996</v>
      </c>
      <c r="D7" s="13">
        <f>'Raw Data'!D$28-'Raw Data'!C$28</f>
        <v>6474</v>
      </c>
      <c r="E7" s="13">
        <f>'Raw Data'!E$28-'Raw Data'!D$28</f>
        <v>2607</v>
      </c>
      <c r="F7" s="13">
        <f>'Raw Data'!F$28-'Raw Data'!E$28</f>
        <v>1352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100000000000001" customHeight="1">
      <c r="A8" s="6" t="s">
        <v>29</v>
      </c>
      <c r="B8" s="13"/>
      <c r="C8" s="13">
        <f>'Raw Data'!C$33-'Raw Data'!B$33</f>
        <v>4360</v>
      </c>
      <c r="D8" s="13">
        <f>'Raw Data'!D$33-'Raw Data'!C$33</f>
        <v>-8137</v>
      </c>
      <c r="E8" s="13">
        <f>'Raw Data'!E$33-'Raw Data'!D$33</f>
        <v>6595</v>
      </c>
      <c r="F8" s="13">
        <f>'Raw Data'!F$33-'Raw Data'!E$33</f>
        <v>7072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100000000000001" customHeight="1">
      <c r="A9" s="6" t="s">
        <v>14</v>
      </c>
      <c r="B9" s="13"/>
      <c r="C9" s="13">
        <f>'Raw Data'!C$16-'Raw Data'!B$16</f>
        <v>11562</v>
      </c>
      <c r="D9" s="13">
        <f>'Raw Data'!D$16-'Raw Data'!C$16</f>
        <v>65</v>
      </c>
      <c r="E9" s="13">
        <f>'Raw Data'!E$16-'Raw Data'!D$16</f>
        <v>-1684</v>
      </c>
      <c r="F9" s="13">
        <f>'Raw Data'!F$16-'Raw Data'!E$16</f>
        <v>1543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100000000000001" customHeight="1">
      <c r="A10" s="6" t="s">
        <v>31</v>
      </c>
      <c r="B10" s="13"/>
      <c r="C10" s="13">
        <f>'Raw Data'!C$36-'Raw Data'!B$36</f>
        <v>-11893</v>
      </c>
      <c r="D10" s="13">
        <f>'Raw Data'!D$36-'Raw Data'!C$36</f>
        <v>4660</v>
      </c>
      <c r="E10" s="13">
        <f>'Raw Data'!E$36-'Raw Data'!D$36</f>
        <v>6885</v>
      </c>
      <c r="F10" s="13">
        <f>'Raw Data'!F$36-'Raw Data'!E$36</f>
        <v>717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100000000000001" customHeight="1">
      <c r="A11" s="6" t="s">
        <v>36</v>
      </c>
      <c r="B11" s="13"/>
      <c r="C11" s="13">
        <f>'Raw Data'!C$42-'Raw Data'!B$42</f>
        <v>8753</v>
      </c>
      <c r="D11" s="13">
        <f>'Raw Data'!D$42-'Raw Data'!C$42</f>
        <v>13046</v>
      </c>
      <c r="E11" s="13">
        <f>'Raw Data'!E$42-'Raw Data'!D$42</f>
        <v>17489</v>
      </c>
      <c r="F11" s="13">
        <f>'Raw Data'!F$42-'Raw Data'!E$42</f>
        <v>11758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100000000000001" customHeight="1">
      <c r="A12" s="6" t="s">
        <v>38</v>
      </c>
      <c r="B12" s="13"/>
      <c r="C12" s="13">
        <f>'Raw Data'!C$44-'Raw Data'!B$44</f>
        <v>2314</v>
      </c>
      <c r="D12" s="13">
        <f>'Raw Data'!D$44-'Raw Data'!C$44</f>
        <v>6245</v>
      </c>
      <c r="E12" s="13">
        <f>'Raw Data'!E$44-'Raw Data'!D$44</f>
        <v>10050</v>
      </c>
      <c r="F12" s="13">
        <f>'Raw Data'!F$44-'Raw Data'!E$44</f>
        <v>9183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100000000000001" customHeight="1">
      <c r="A13" s="22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100000000000001" customHeight="1">
      <c r="A14" s="22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100000000000001" customHeight="1">
      <c r="A15" s="22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100000000000001" customHeight="1">
      <c r="A16" s="22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100000000000001" customHeight="1">
      <c r="A17" s="22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100000000000001" customHeight="1">
      <c r="A18" s="22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100000000000001" customHeight="1">
      <c r="A19" s="22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100000000000001" customHeight="1">
      <c r="A20" s="22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100000000000001" customHeight="1">
      <c r="A21" s="22"/>
      <c r="B21" s="2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100000000000001" customHeight="1">
      <c r="A22" s="22"/>
      <c r="B22" s="2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100000000000001" customHeight="1">
      <c r="A23" s="22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100000000000001" customHeight="1">
      <c r="A24" s="22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100000000000001" customHeight="1">
      <c r="A25" s="22"/>
      <c r="B25" s="2"/>
      <c r="C25" s="2"/>
      <c r="D25" s="2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100000000000001" customHeight="1">
      <c r="A26" s="22"/>
      <c r="B26" s="2"/>
      <c r="C26" s="2"/>
      <c r="D26" s="2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100000000000001" customHeight="1">
      <c r="A27" s="22"/>
      <c r="B27" s="2"/>
      <c r="C27" s="2"/>
      <c r="D27" s="2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100000000000001" customHeight="1">
      <c r="A28" s="22"/>
      <c r="B28" s="2"/>
      <c r="C28" s="2"/>
      <c r="D28" s="2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100000000000001" customHeight="1">
      <c r="A29" s="22"/>
      <c r="B29" s="2"/>
      <c r="C29" s="2"/>
      <c r="D29" s="2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100000000000001" customHeight="1">
      <c r="A30" s="22"/>
      <c r="B30" s="2"/>
      <c r="C30" s="2"/>
      <c r="D30" s="2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100000000000001" customHeight="1">
      <c r="A31" s="22"/>
      <c r="B31" s="2"/>
      <c r="C31" s="2"/>
      <c r="D31" s="2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100000000000001" customHeight="1">
      <c r="A32" s="22"/>
      <c r="B32" s="2"/>
      <c r="C32" s="2"/>
      <c r="D32" s="2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>
      <c r="A33" s="22"/>
      <c r="B33" s="2"/>
      <c r="C33" s="2"/>
      <c r="D33" s="2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>
      <c r="A34" s="22"/>
      <c r="B34" s="2"/>
      <c r="C34" s="2"/>
      <c r="D34" s="2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>
      <c r="A35" s="22"/>
      <c r="B35" s="2"/>
      <c r="C35" s="2"/>
      <c r="D35" s="2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>
      <c r="A36" s="22"/>
      <c r="B36" s="2"/>
      <c r="C36" s="2"/>
      <c r="D36" s="2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>
      <c r="A37" s="22"/>
      <c r="B37" s="2"/>
      <c r="C37" s="2"/>
      <c r="D37" s="2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>
      <c r="A38" s="22"/>
      <c r="B38" s="2"/>
      <c r="C38" s="2"/>
      <c r="D38" s="2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>
      <c r="A39" s="22"/>
      <c r="B39" s="2"/>
      <c r="C39" s="2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>
      <c r="A40" s="22"/>
      <c r="B40" s="2"/>
      <c r="C40" s="2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>
      <c r="A41" s="22"/>
      <c r="B41" s="2"/>
      <c r="C41" s="2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>
      <c r="A42" s="22"/>
      <c r="B42" s="2"/>
      <c r="C42" s="2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100000000000001" customHeight="1">
      <c r="A43" s="22"/>
      <c r="B43" s="2"/>
      <c r="C43" s="2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100000000000001" customHeight="1">
      <c r="A44" s="22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100000000000001" customHeight="1">
      <c r="A45" s="22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100000000000001" customHeight="1">
      <c r="A46" s="22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100000000000001" customHeight="1">
      <c r="A47" s="22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100000000000001" customHeight="1">
      <c r="A48" s="22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100000000000001" customHeight="1">
      <c r="A49" s="22"/>
      <c r="B49" s="2"/>
      <c r="C49" s="2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100000000000001" customHeight="1">
      <c r="A50" s="22"/>
      <c r="B50" s="2"/>
      <c r="C50" s="2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10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.10000000000000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10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10000000000000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10000000000000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10000000000000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10000000000000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10000000000000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10000000000000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10000000000000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10000000000000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10000000000000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10000000000000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10000000000000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10000000000000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10000000000000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10000000000000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10000000000000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10000000000000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10000000000000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10000000000000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10000000000000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10000000000000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10000000000000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10000000000000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10000000000000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10000000000000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10000000000000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10000000000000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10000000000000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10000000000000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10000000000000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10000000000000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10000000000000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10000000000000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10000000000000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10000000000000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10000000000000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10000000000000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10000000000000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10000000000000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10000000000000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10000000000000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10000000000000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10000000000000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10000000000000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10000000000000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10000000000000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10000000000000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10000000000000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10000000000000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10000000000000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10000000000000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10000000000000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10000000000000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10000000000000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10000000000000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10000000000000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10000000000000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10000000000000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10000000000000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10000000000000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10000000000000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10000000000000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10000000000000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10000000000000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10000000000000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10000000000000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10000000000000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10000000000000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10000000000000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10000000000000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10000000000000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10000000000000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10000000000000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10000000000000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10000000000000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10000000000000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10000000000000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10000000000000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10000000000000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10000000000000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10000000000000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10000000000000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10000000000000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10000000000000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10000000000000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10000000000000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10000000000000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10000000000000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10000000000000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10000000000000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10000000000000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10000000000000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10000000000000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10000000000000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10000000000000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10000000000000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10000000000000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10000000000000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10000000000000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10000000000000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10000000000000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10000000000000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10000000000000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10000000000000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10000000000000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10000000000000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10000000000000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10000000000000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10000000000000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10000000000000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10000000000000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10000000000000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10000000000000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10000000000000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10000000000000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10000000000000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10000000000000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10000000000000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10000000000000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activeCell="A2" sqref="A2"/>
    </sheetView>
  </sheetViews>
  <sheetFormatPr defaultColWidth="8.875" defaultRowHeight="14.1"/>
  <cols>
    <col min="1" max="1" width="37.625" customWidth="1"/>
    <col min="2" max="6" width="14" customWidth="1"/>
  </cols>
  <sheetData>
    <row r="1" spans="1:26" ht="20.100000000000001" customHeight="1">
      <c r="A1" s="8" t="s">
        <v>61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100000000000001" customHeight="1">
      <c r="A2" s="9" t="s">
        <v>3</v>
      </c>
      <c r="B2" s="10">
        <f>1</f>
        <v>1</v>
      </c>
      <c r="C2" s="10">
        <f>1</f>
        <v>1</v>
      </c>
      <c r="D2" s="10">
        <f>1</f>
        <v>1</v>
      </c>
      <c r="E2" s="10">
        <f>1</f>
        <v>1</v>
      </c>
      <c r="F2" s="10">
        <f>1</f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9" t="s">
        <v>4</v>
      </c>
      <c r="B3" s="10">
        <f>'Raw Data'!B$5/'Raw Data'!B$4</f>
        <v>0.75170213412834819</v>
      </c>
      <c r="C3" s="10">
        <f>'Raw Data'!C$5/'Raw Data'!C$4</f>
        <v>0.7490126651232466</v>
      </c>
      <c r="D3" s="10">
        <f>'Raw Data'!D$5/'Raw Data'!D$4</f>
        <v>0.75859536160474017</v>
      </c>
      <c r="E3" s="10">
        <f>'Raw Data'!E$5/'Raw Data'!E$4</f>
        <v>0.7562460945033751</v>
      </c>
      <c r="F3" s="10">
        <f>'Raw Data'!F$5/'Raw Data'!F$4</f>
        <v>0.75148938669721066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>
      <c r="A4" s="9" t="s">
        <v>5</v>
      </c>
      <c r="B4" s="10">
        <f>'Raw Data'!B$6/'Raw Data'!B$4</f>
        <v>0.24829786587165184</v>
      </c>
      <c r="C4" s="10">
        <f>'Raw Data'!C$6/'Raw Data'!C$4</f>
        <v>0.25098733487675334</v>
      </c>
      <c r="D4" s="10">
        <f>'Raw Data'!D$6/'Raw Data'!D$4</f>
        <v>0.24140463839525986</v>
      </c>
      <c r="E4" s="10">
        <f>'Raw Data'!E$6/'Raw Data'!E$4</f>
        <v>0.24375390549662487</v>
      </c>
      <c r="F4" s="10">
        <f>'Raw Data'!F$6/'Raw Data'!F$4</f>
        <v>0.24851061330278934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100000000000001" customHeight="1">
      <c r="A5" s="9" t="s">
        <v>6</v>
      </c>
      <c r="B5" s="10">
        <f>'Raw Data'!B$7/'Raw Data'!B$4</f>
        <v>4.032542193432543E-2</v>
      </c>
      <c r="C5" s="10">
        <f>'Raw Data'!C$7/'Raw Data'!C$4</f>
        <v>4.5293441861602016E-2</v>
      </c>
      <c r="D5" s="10">
        <f>'Raw Data'!D$7/'Raw Data'!D$4</f>
        <v>3.3417908714208827E-2</v>
      </c>
      <c r="E5" s="10">
        <f>'Raw Data'!E$7/'Raw Data'!E$4</f>
        <v>4.16771456123433E-2</v>
      </c>
      <c r="F5" s="10">
        <f>'Raw Data'!F$7/'Raw Data'!F$4</f>
        <v>4.3096397130626962E-2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100000000000001" customHeight="1">
      <c r="A6" s="9" t="s">
        <v>7</v>
      </c>
      <c r="B6" s="10">
        <f>'Raw Data'!B$8/'Raw Data'!B$4</f>
        <v>3.9238059128929399E-3</v>
      </c>
      <c r="C6" s="10">
        <f>'Raw Data'!C$8/'Raw Data'!C$4</f>
        <v>3.2055646926952932E-3</v>
      </c>
      <c r="D6" s="10">
        <f>'Raw Data'!D$8/'Raw Data'!D$4</f>
        <v>3.0656530708061164E-3</v>
      </c>
      <c r="E6" s="10">
        <f>'Raw Data'!E$8/'Raw Data'!E$4</f>
        <v>3.2972034715525555E-3</v>
      </c>
      <c r="F6" s="10">
        <f>'Raw Data'!F$8/'Raw Data'!F$4</f>
        <v>3.2966952282355707E-3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100000000000001" customHeight="1">
      <c r="A7" s="9" t="s">
        <v>8</v>
      </c>
      <c r="B7" s="10">
        <f>'Raw Data'!B$9/'Raw Data'!B$4</f>
        <v>3.6777185411454152E-2</v>
      </c>
      <c r="C7" s="10">
        <f>'Raw Data'!C$9/'Raw Data'!C$4</f>
        <v>3.2642286217119391E-2</v>
      </c>
      <c r="D7" s="10">
        <f>'Raw Data'!D$9/'Raw Data'!D$4</f>
        <v>2.7836260753915088E-2</v>
      </c>
      <c r="E7" s="10">
        <f>'Raw Data'!E$9/'Raw Data'!E$4</f>
        <v>3.3709546769527483E-2</v>
      </c>
      <c r="F7" s="10">
        <f>'Raw Data'!F$9/'Raw Data'!F$4</f>
        <v>3.8633743768218098E-2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100000000000001" customHeight="1">
      <c r="A8" s="9" t="s">
        <v>9</v>
      </c>
      <c r="B8" s="10">
        <f>'Raw Data'!B$10/'Raw Data'!B$4</f>
        <v>1.2265023222707283E-2</v>
      </c>
      <c r="C8" s="10">
        <f>'Raw Data'!C$10/'Raw Data'!C$4</f>
        <v>8.3037394762847574E-3</v>
      </c>
      <c r="D8" s="10">
        <f>'Raw Data'!D$10/'Raw Data'!D$4</f>
        <v>9.3638197317471774E-3</v>
      </c>
      <c r="E8" s="10">
        <f>'Raw Data'!E$10/'Raw Data'!E$4</f>
        <v>8.6063645130183223E-3</v>
      </c>
      <c r="F8" s="10">
        <f>'Raw Data'!F$10/'Raw Data'!F$4</f>
        <v>9.0339728481537776E-3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100000000000001" customHeight="1">
      <c r="A9" s="9" t="s">
        <v>10</v>
      </c>
      <c r="B9" s="10">
        <f>'Raw Data'!B$11/'Raw Data'!B$4</f>
        <v>2.4512162188746869E-2</v>
      </c>
      <c r="C9" s="10">
        <f>'Raw Data'!C$11/'Raw Data'!C$4</f>
        <v>2.4338546740834636E-2</v>
      </c>
      <c r="D9" s="10">
        <f>'Raw Data'!D$11/'Raw Data'!D$4</f>
        <v>1.8472441022167909E-2</v>
      </c>
      <c r="E9" s="10">
        <f>'Raw Data'!E$11/'Raw Data'!E$4</f>
        <v>2.5103182256509159E-2</v>
      </c>
      <c r="F9" s="10">
        <f>'Raw Data'!F$11/'Raw Data'!F$4</f>
        <v>2.9599770920064317E-2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100000000000001" customHeight="1">
      <c r="A10" s="22"/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100000000000001" customHeight="1">
      <c r="A11" s="22"/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100000000000001" customHeight="1">
      <c r="A12" s="22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100000000000001" customHeight="1">
      <c r="A13" s="22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100000000000001" customHeight="1">
      <c r="A14" s="22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100000000000001" customHeight="1">
      <c r="A15" s="22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100000000000001" customHeight="1">
      <c r="A16" s="22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100000000000001" customHeight="1">
      <c r="A17" s="22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100000000000001" customHeight="1">
      <c r="A18" s="22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100000000000001" customHeight="1">
      <c r="A19" s="22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100000000000001" customHeight="1">
      <c r="A20" s="22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100000000000001" customHeight="1">
      <c r="A21" s="22"/>
      <c r="B21" s="2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100000000000001" customHeight="1">
      <c r="A22" s="22"/>
      <c r="B22" s="2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100000000000001" customHeight="1">
      <c r="A23" s="22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100000000000001" customHeight="1">
      <c r="A24" s="22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100000000000001" customHeight="1">
      <c r="A25" s="22"/>
      <c r="B25" s="2"/>
      <c r="C25" s="2"/>
      <c r="D25" s="2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100000000000001" customHeight="1">
      <c r="A26" s="22"/>
      <c r="B26" s="2"/>
      <c r="C26" s="2"/>
      <c r="D26" s="2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100000000000001" customHeight="1">
      <c r="A27" s="22"/>
      <c r="B27" s="2"/>
      <c r="C27" s="2"/>
      <c r="D27" s="2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100000000000001" customHeight="1">
      <c r="A28" s="22"/>
      <c r="B28" s="2"/>
      <c r="C28" s="2"/>
      <c r="D28" s="2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100000000000001" customHeight="1">
      <c r="A29" s="22"/>
      <c r="B29" s="2"/>
      <c r="C29" s="2"/>
      <c r="D29" s="2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100000000000001" customHeight="1">
      <c r="A30" s="22"/>
      <c r="B30" s="2"/>
      <c r="C30" s="2"/>
      <c r="D30" s="2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100000000000001" customHeight="1">
      <c r="A31" s="22"/>
      <c r="B31" s="2"/>
      <c r="C31" s="2"/>
      <c r="D31" s="2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100000000000001" customHeight="1">
      <c r="A32" s="22"/>
      <c r="B32" s="2"/>
      <c r="C32" s="2"/>
      <c r="D32" s="2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>
      <c r="A33" s="22"/>
      <c r="B33" s="2"/>
      <c r="C33" s="2"/>
      <c r="D33" s="2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>
      <c r="A34" s="22"/>
      <c r="B34" s="2"/>
      <c r="C34" s="2"/>
      <c r="D34" s="2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>
      <c r="A35" s="22"/>
      <c r="B35" s="2"/>
      <c r="C35" s="2"/>
      <c r="D35" s="2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>
      <c r="A36" s="22"/>
      <c r="B36" s="2"/>
      <c r="C36" s="2"/>
      <c r="D36" s="2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>
      <c r="A37" s="22"/>
      <c r="B37" s="2"/>
      <c r="C37" s="2"/>
      <c r="D37" s="2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>
      <c r="A38" s="22"/>
      <c r="B38" s="2"/>
      <c r="C38" s="2"/>
      <c r="D38" s="2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>
      <c r="A39" s="22"/>
      <c r="B39" s="2"/>
      <c r="C39" s="2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>
      <c r="A40" s="22"/>
      <c r="B40" s="2"/>
      <c r="C40" s="2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>
      <c r="A41" s="22"/>
      <c r="B41" s="2"/>
      <c r="C41" s="2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>
      <c r="A42" s="22"/>
      <c r="B42" s="2"/>
      <c r="C42" s="2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100000000000001" customHeight="1">
      <c r="A43" s="22"/>
      <c r="B43" s="2"/>
      <c r="C43" s="2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100000000000001" customHeight="1">
      <c r="A44" s="22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100000000000001" customHeight="1">
      <c r="A45" s="22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100000000000001" customHeight="1">
      <c r="A46" s="22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100000000000001" customHeight="1">
      <c r="A47" s="22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100000000000001" customHeight="1">
      <c r="A48" s="22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100000000000001" customHeight="1">
      <c r="A49" s="22"/>
      <c r="B49" s="2"/>
      <c r="C49" s="2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100000000000001" customHeight="1">
      <c r="A50" s="22"/>
      <c r="B50" s="2"/>
      <c r="C50" s="2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10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.10000000000000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10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10000000000000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10000000000000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10000000000000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10000000000000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10000000000000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10000000000000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10000000000000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10000000000000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10000000000000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10000000000000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10000000000000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10000000000000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10000000000000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10000000000000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10000000000000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10000000000000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10000000000000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10000000000000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10000000000000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10000000000000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10000000000000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10000000000000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10000000000000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10000000000000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10000000000000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10000000000000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10000000000000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10000000000000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10000000000000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10000000000000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10000000000000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10000000000000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10000000000000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10000000000000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10000000000000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10000000000000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10000000000000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10000000000000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10000000000000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10000000000000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10000000000000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10000000000000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10000000000000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10000000000000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10000000000000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10000000000000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10000000000000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10000000000000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10000000000000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10000000000000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10000000000000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10000000000000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10000000000000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10000000000000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10000000000000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10000000000000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10000000000000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10000000000000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10000000000000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10000000000000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10000000000000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10000000000000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10000000000000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10000000000000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10000000000000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10000000000000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10000000000000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10000000000000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10000000000000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10000000000000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10000000000000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10000000000000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10000000000000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10000000000000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10000000000000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10000000000000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10000000000000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10000000000000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10000000000000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10000000000000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10000000000000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10000000000000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10000000000000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10000000000000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10000000000000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10000000000000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10000000000000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10000000000000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10000000000000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10000000000000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10000000000000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10000000000000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10000000000000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10000000000000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10000000000000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10000000000000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10000000000000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10000000000000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10000000000000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10000000000000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10000000000000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10000000000000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10000000000000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10000000000000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10000000000000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10000000000000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10000000000000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10000000000000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10000000000000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10000000000000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10000000000000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10000000000000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10000000000000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10000000000000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10000000000000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10000000000000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10000000000000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10000000000000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activeCell="E16" sqref="E16"/>
    </sheetView>
  </sheetViews>
  <sheetFormatPr defaultColWidth="8.875" defaultRowHeight="14.1"/>
  <cols>
    <col min="1" max="1" width="34" customWidth="1"/>
    <col min="2" max="6" width="14" customWidth="1"/>
  </cols>
  <sheetData>
    <row r="1" spans="1:26" ht="20.100000000000001" customHeight="1">
      <c r="A1" s="8" t="s">
        <v>62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100000000000001" customHeight="1">
      <c r="A2" s="9" t="s">
        <v>36</v>
      </c>
      <c r="B2" s="12">
        <f>'Raw Data'!B$42</f>
        <v>180571</v>
      </c>
      <c r="C2" s="12">
        <f>'Raw Data'!C$42</f>
        <v>189324</v>
      </c>
      <c r="D2" s="12">
        <f>'Raw Data'!D$42</f>
        <v>202370</v>
      </c>
      <c r="E2" s="12">
        <f>'Raw Data'!E$42</f>
        <v>219859</v>
      </c>
      <c r="F2" s="12">
        <f>'Raw Data'!F$42</f>
        <v>231617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9" t="s">
        <v>37</v>
      </c>
      <c r="B3" s="12">
        <f>'Raw Data'!B$43</f>
        <v>-88370</v>
      </c>
      <c r="C3" s="12">
        <f>'Raw Data'!C$43</f>
        <v>-94809</v>
      </c>
      <c r="D3" s="12">
        <f>'Raw Data'!D$43</f>
        <v>-101610</v>
      </c>
      <c r="E3" s="12">
        <f>'Raw Data'!E$43</f>
        <v>-109049</v>
      </c>
      <c r="F3" s="12">
        <f>'Raw Data'!F$43</f>
        <v>-111624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>
      <c r="A4" s="9" t="s">
        <v>38</v>
      </c>
      <c r="B4" s="12">
        <f>'Raw Data'!B$44</f>
        <v>92201</v>
      </c>
      <c r="C4" s="12">
        <f>'Raw Data'!C$44</f>
        <v>94515</v>
      </c>
      <c r="D4" s="12">
        <f>'Raw Data'!D$44</f>
        <v>100760</v>
      </c>
      <c r="E4" s="12">
        <f>'Raw Data'!E$44</f>
        <v>110810</v>
      </c>
      <c r="F4" s="12">
        <f>'Raw Data'!F$44</f>
        <v>119993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100000000000001" customHeight="1">
      <c r="A5" s="9" t="s">
        <v>63</v>
      </c>
      <c r="B5" s="10">
        <f>'Raw Data'!B$44/'Raw Data'!B$20</f>
        <v>0.36515825993283063</v>
      </c>
      <c r="C5" s="10">
        <f>'Raw Data'!C$44/'Raw Data'!C$20</f>
        <v>0.38599607939230579</v>
      </c>
      <c r="D5" s="10">
        <f>'Raw Data'!D$44/'Raw Data'!D$20</f>
        <v>0.41431432131152934</v>
      </c>
      <c r="E5" s="10">
        <f>'Raw Data'!E$44/'Raw Data'!E$20</f>
        <v>0.43902709598690959</v>
      </c>
      <c r="F5" s="10">
        <f>'Raw Data'!F$44/'Raw Data'!F$20</f>
        <v>0.46005528653531325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100000000000001" customHeight="1">
      <c r="A6" s="9" t="s">
        <v>64</v>
      </c>
      <c r="B6" s="10">
        <f>ABS('Raw Data'!B$43)/'Raw Data'!B$42</f>
        <v>0.48939198431641845</v>
      </c>
      <c r="C6" s="10">
        <f>ABS('Raw Data'!C$43)/'Raw Data'!C$42</f>
        <v>0.5007764467262471</v>
      </c>
      <c r="D6" s="10">
        <f>ABS('Raw Data'!D$43)/'Raw Data'!D$42</f>
        <v>0.5021001136532095</v>
      </c>
      <c r="E6" s="10">
        <f>ABS('Raw Data'!E$43)/'Raw Data'!E$42</f>
        <v>0.49599516053470633</v>
      </c>
      <c r="F6" s="10">
        <f>ABS('Raw Data'!F$43)/'Raw Data'!F$42</f>
        <v>0.48193353683019813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100000000000001" customHeight="1">
      <c r="A7" s="9" t="s">
        <v>65</v>
      </c>
      <c r="B7" s="10">
        <f>ABS('Raw Data'!B$37)/'Raw Data'!B$4</f>
        <v>1.8356401043725219E-2</v>
      </c>
      <c r="C7" s="10">
        <f>ABS('Raw Data'!C$37)/'Raw Data'!C$4</f>
        <v>2.2882424217028602E-2</v>
      </c>
      <c r="D7" s="10">
        <f>ABS('Raw Data'!D$37)/'Raw Data'!D$4</f>
        <v>2.7576154650255445E-2</v>
      </c>
      <c r="E7" s="10">
        <f>ABS('Raw Data'!E$37)/'Raw Data'!E$4</f>
        <v>3.1793249758919964E-2</v>
      </c>
      <c r="F7" s="10">
        <f>ABS('Raw Data'!F$37)/'Raw Data'!F$4</f>
        <v>3.4924410963530765E-2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100000000000001" customHeight="1">
      <c r="A8" s="9" t="s">
        <v>66</v>
      </c>
      <c r="B8" s="10">
        <f>'Raw Data'!B$38/'Raw Data'!B$42</f>
        <v>6.1759640252310725E-2</v>
      </c>
      <c r="C8" s="10">
        <f>'Raw Data'!C$38/'Raw Data'!C$42</f>
        <v>5.629502862817181E-2</v>
      </c>
      <c r="D8" s="10">
        <f>'Raw Data'!D$38/'Raw Data'!D$42</f>
        <v>5.4084103375006173E-2</v>
      </c>
      <c r="E8" s="10">
        <f>'Raw Data'!E$38/'Raw Data'!E$42</f>
        <v>5.3911825306218984E-2</v>
      </c>
      <c r="F8" s="10">
        <f>'Raw Data'!F$38/'Raw Data'!F$42</f>
        <v>5.6010569172383722E-2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100000000000001" customHeight="1">
      <c r="A9" s="22"/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100000000000001" customHeight="1">
      <c r="A10" s="22"/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100000000000001" customHeight="1">
      <c r="A11" s="22"/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100000000000001" customHeight="1">
      <c r="A12" s="22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100000000000001" customHeight="1">
      <c r="A13" s="22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100000000000001" customHeight="1">
      <c r="A14" s="22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100000000000001" customHeight="1">
      <c r="A15" s="22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100000000000001" customHeight="1">
      <c r="A16" s="22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100000000000001" customHeight="1">
      <c r="A17" s="22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100000000000001" customHeight="1">
      <c r="A18" s="22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100000000000001" customHeight="1">
      <c r="A19" s="22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100000000000001" customHeight="1">
      <c r="A20" s="22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100000000000001" customHeight="1">
      <c r="A21" s="22"/>
      <c r="B21" s="2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100000000000001" customHeight="1">
      <c r="A22" s="22"/>
      <c r="B22" s="2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100000000000001" customHeight="1">
      <c r="A23" s="22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100000000000001" customHeight="1">
      <c r="A24" s="22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100000000000001" customHeight="1">
      <c r="A25" s="22"/>
      <c r="B25" s="2"/>
      <c r="C25" s="2"/>
      <c r="D25" s="2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100000000000001" customHeight="1">
      <c r="A26" s="22"/>
      <c r="B26" s="2"/>
      <c r="C26" s="2"/>
      <c r="D26" s="2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100000000000001" customHeight="1">
      <c r="A27" s="22"/>
      <c r="B27" s="2"/>
      <c r="C27" s="2"/>
      <c r="D27" s="2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100000000000001" customHeight="1">
      <c r="A28" s="22"/>
      <c r="B28" s="2"/>
      <c r="C28" s="2"/>
      <c r="D28" s="2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100000000000001" customHeight="1">
      <c r="A29" s="22"/>
      <c r="B29" s="2"/>
      <c r="C29" s="2"/>
      <c r="D29" s="2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100000000000001" customHeight="1">
      <c r="A30" s="22"/>
      <c r="B30" s="2"/>
      <c r="C30" s="2"/>
      <c r="D30" s="2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100000000000001" customHeight="1">
      <c r="A31" s="22"/>
      <c r="B31" s="2"/>
      <c r="C31" s="2"/>
      <c r="D31" s="2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100000000000001" customHeight="1">
      <c r="A32" s="22"/>
      <c r="B32" s="2"/>
      <c r="C32" s="2"/>
      <c r="D32" s="2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>
      <c r="A33" s="22"/>
      <c r="B33" s="2"/>
      <c r="C33" s="2"/>
      <c r="D33" s="2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>
      <c r="A34" s="22"/>
      <c r="B34" s="2"/>
      <c r="C34" s="2"/>
      <c r="D34" s="2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>
      <c r="A35" s="22"/>
      <c r="B35" s="2"/>
      <c r="C35" s="2"/>
      <c r="D35" s="2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>
      <c r="A36" s="22"/>
      <c r="B36" s="2"/>
      <c r="C36" s="2"/>
      <c r="D36" s="2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>
      <c r="A37" s="22"/>
      <c r="B37" s="2"/>
      <c r="C37" s="2"/>
      <c r="D37" s="2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>
      <c r="A38" s="22"/>
      <c r="B38" s="2"/>
      <c r="C38" s="2"/>
      <c r="D38" s="2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>
      <c r="A39" s="22"/>
      <c r="B39" s="2"/>
      <c r="C39" s="2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>
      <c r="A40" s="22"/>
      <c r="B40" s="2"/>
      <c r="C40" s="2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>
      <c r="A41" s="22"/>
      <c r="B41" s="2"/>
      <c r="C41" s="2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>
      <c r="A42" s="22"/>
      <c r="B42" s="2"/>
      <c r="C42" s="2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100000000000001" customHeight="1">
      <c r="A43" s="22"/>
      <c r="B43" s="2"/>
      <c r="C43" s="2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100000000000001" customHeight="1">
      <c r="A44" s="22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100000000000001" customHeight="1">
      <c r="A45" s="22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100000000000001" customHeight="1">
      <c r="A46" s="22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100000000000001" customHeight="1">
      <c r="A47" s="22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100000000000001" customHeight="1">
      <c r="A48" s="22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100000000000001" customHeight="1">
      <c r="A49" s="22"/>
      <c r="B49" s="2"/>
      <c r="C49" s="2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100000000000001" customHeight="1">
      <c r="A50" s="22"/>
      <c r="B50" s="2"/>
      <c r="C50" s="2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10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.10000000000000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10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10000000000000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10000000000000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10000000000000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10000000000000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10000000000000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10000000000000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10000000000000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10000000000000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10000000000000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10000000000000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10000000000000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10000000000000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10000000000000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10000000000000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10000000000000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10000000000000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10000000000000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10000000000000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10000000000000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10000000000000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10000000000000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10000000000000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10000000000000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10000000000000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10000000000000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10000000000000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10000000000000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10000000000000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10000000000000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10000000000000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10000000000000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10000000000000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10000000000000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10000000000000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10000000000000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10000000000000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10000000000000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10000000000000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10000000000000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10000000000000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10000000000000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10000000000000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10000000000000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10000000000000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10000000000000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10000000000000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10000000000000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10000000000000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10000000000000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10000000000000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10000000000000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10000000000000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10000000000000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10000000000000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10000000000000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10000000000000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10000000000000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10000000000000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10000000000000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10000000000000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10000000000000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10000000000000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10000000000000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10000000000000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10000000000000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10000000000000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10000000000000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10000000000000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10000000000000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10000000000000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10000000000000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10000000000000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10000000000000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10000000000000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10000000000000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10000000000000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10000000000000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10000000000000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10000000000000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10000000000000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10000000000000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10000000000000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10000000000000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10000000000000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10000000000000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10000000000000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10000000000000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10000000000000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10000000000000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10000000000000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10000000000000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10000000000000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10000000000000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10000000000000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10000000000000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10000000000000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10000000000000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10000000000000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10000000000000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10000000000000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10000000000000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10000000000000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10000000000000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10000000000000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10000000000000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10000000000000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10000000000000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10000000000000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10000000000000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10000000000000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10000000000000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10000000000000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10000000000000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10000000000000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10000000000000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10000000000000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10000000000000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10000000000000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activeCell="H36" sqref="H36"/>
    </sheetView>
  </sheetViews>
  <sheetFormatPr defaultColWidth="8.875" defaultRowHeight="14.1"/>
  <cols>
    <col min="1" max="1" width="34" customWidth="1"/>
    <col min="2" max="6" width="14" customWidth="1"/>
    <col min="8" max="13" width="14" customWidth="1"/>
  </cols>
  <sheetData>
    <row r="1" spans="1:26" ht="20.100000000000001" customHeight="1">
      <c r="A1" s="8" t="s">
        <v>67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  <c r="G1" s="9"/>
      <c r="H1" s="14" t="s">
        <v>68</v>
      </c>
      <c r="I1" s="14">
        <v>2021</v>
      </c>
      <c r="J1" s="14">
        <v>2022</v>
      </c>
      <c r="K1" s="14">
        <v>2023</v>
      </c>
      <c r="L1" s="14">
        <v>2024</v>
      </c>
      <c r="M1" s="14">
        <v>2025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100000000000001" customHeight="1">
      <c r="A2" s="9" t="s">
        <v>3</v>
      </c>
      <c r="B2" s="12">
        <f>'Raw Data'!B$4</f>
        <v>559151</v>
      </c>
      <c r="C2" s="12">
        <f>'Raw Data'!C$4</f>
        <v>572754</v>
      </c>
      <c r="D2" s="12">
        <f>'Raw Data'!D$4</f>
        <v>611289</v>
      </c>
      <c r="E2" s="12">
        <f>'Raw Data'!E$4</f>
        <v>648125</v>
      </c>
      <c r="F2" s="12">
        <f>'Raw Data'!F$4</f>
        <v>680985</v>
      </c>
      <c r="G2" s="9"/>
      <c r="H2" s="14" t="s">
        <v>3</v>
      </c>
      <c r="I2" s="15">
        <f>'Raw Data'!B$4</f>
        <v>559151</v>
      </c>
      <c r="J2" s="15">
        <f>'Raw Data'!C$4</f>
        <v>572754</v>
      </c>
      <c r="K2" s="15">
        <f>'Raw Data'!D$4</f>
        <v>611289</v>
      </c>
      <c r="L2" s="15">
        <f>'Raw Data'!E$4</f>
        <v>648125</v>
      </c>
      <c r="M2" s="15">
        <f>'Raw Data'!F$4</f>
        <v>680985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>
      <c r="A3" s="9" t="s">
        <v>10</v>
      </c>
      <c r="B3" s="12">
        <f>'Raw Data'!B$11</f>
        <v>13706</v>
      </c>
      <c r="C3" s="12">
        <f>'Raw Data'!C$11</f>
        <v>13940</v>
      </c>
      <c r="D3" s="12">
        <f>'Raw Data'!D$11</f>
        <v>11292</v>
      </c>
      <c r="E3" s="12">
        <f>'Raw Data'!E$11</f>
        <v>16270</v>
      </c>
      <c r="F3" s="12">
        <f>'Raw Data'!F$11</f>
        <v>20157</v>
      </c>
      <c r="G3" s="9"/>
      <c r="H3" s="14" t="s">
        <v>10</v>
      </c>
      <c r="I3" s="15">
        <f>'Raw Data'!B$11</f>
        <v>13706</v>
      </c>
      <c r="J3" s="15">
        <f>'Raw Data'!C$11</f>
        <v>13940</v>
      </c>
      <c r="K3" s="15">
        <f>'Raw Data'!D$11</f>
        <v>11292</v>
      </c>
      <c r="L3" s="15">
        <f>'Raw Data'!E$11</f>
        <v>16270</v>
      </c>
      <c r="M3" s="15">
        <f>'Raw Data'!F$11</f>
        <v>20157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>
      <c r="A4" s="9" t="s">
        <v>31</v>
      </c>
      <c r="B4" s="12">
        <f>'Raw Data'!B$36</f>
        <v>36074</v>
      </c>
      <c r="C4" s="12">
        <f>'Raw Data'!C$36</f>
        <v>24181</v>
      </c>
      <c r="D4" s="12">
        <f>'Raw Data'!D$36</f>
        <v>28841</v>
      </c>
      <c r="E4" s="12">
        <f>'Raw Data'!E$36</f>
        <v>35726</v>
      </c>
      <c r="F4" s="12">
        <f>'Raw Data'!F$36</f>
        <v>36443</v>
      </c>
      <c r="G4" s="9"/>
      <c r="H4" s="14" t="s">
        <v>69</v>
      </c>
      <c r="I4" s="15">
        <f>'Raw Data'!B$36</f>
        <v>36074</v>
      </c>
      <c r="J4" s="15">
        <f>'Raw Data'!C$36</f>
        <v>24181</v>
      </c>
      <c r="K4" s="15">
        <f>'Raw Data'!D$36</f>
        <v>28841</v>
      </c>
      <c r="L4" s="15">
        <f>'Raw Data'!E$36</f>
        <v>35726</v>
      </c>
      <c r="M4" s="15">
        <f>'Raw Data'!F$36</f>
        <v>36443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100000000000001" customHeight="1">
      <c r="A5" s="9" t="s">
        <v>18</v>
      </c>
      <c r="B5" s="12">
        <f>'Raw Data'!B$20</f>
        <v>252496</v>
      </c>
      <c r="C5" s="12">
        <f>'Raw Data'!C$20</f>
        <v>244860</v>
      </c>
      <c r="D5" s="12">
        <f>'Raw Data'!D$20</f>
        <v>243197</v>
      </c>
      <c r="E5" s="12">
        <f>'Raw Data'!E$20</f>
        <v>252399</v>
      </c>
      <c r="F5" s="12">
        <f>'Raw Data'!F$20</f>
        <v>260823</v>
      </c>
      <c r="G5" s="9"/>
      <c r="H5" s="14"/>
      <c r="I5" s="14"/>
      <c r="J5" s="14"/>
      <c r="K5" s="14"/>
      <c r="L5" s="14"/>
      <c r="M5" s="1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100000000000001" customHeight="1">
      <c r="A6" s="9" t="s">
        <v>25</v>
      </c>
      <c r="B6" s="12">
        <f>'Raw Data'!B$28</f>
        <v>164965</v>
      </c>
      <c r="C6" s="12">
        <f>'Raw Data'!C$28</f>
        <v>152969</v>
      </c>
      <c r="D6" s="12">
        <f>'Raw Data'!D$28</f>
        <v>159443</v>
      </c>
      <c r="E6" s="12">
        <f>'Raw Data'!E$28</f>
        <v>162050</v>
      </c>
      <c r="F6" s="12">
        <f>'Raw Data'!F$28</f>
        <v>163402</v>
      </c>
      <c r="G6" s="9"/>
      <c r="H6" s="14" t="s">
        <v>70</v>
      </c>
      <c r="I6" s="14">
        <v>2021</v>
      </c>
      <c r="J6" s="14">
        <v>2022</v>
      </c>
      <c r="K6" s="14">
        <v>2023</v>
      </c>
      <c r="L6" s="14">
        <v>2024</v>
      </c>
      <c r="M6" s="14">
        <v>2025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100000000000001" customHeight="1">
      <c r="A7" s="9" t="s">
        <v>43</v>
      </c>
      <c r="B7" s="10">
        <f>'Ratio Analysis'!B$5</f>
        <v>0.24829786587165184</v>
      </c>
      <c r="C7" s="10">
        <f>'Ratio Analysis'!C$5</f>
        <v>0.25098733487675334</v>
      </c>
      <c r="D7" s="10">
        <f>'Ratio Analysis'!D$5</f>
        <v>0.24140463839525986</v>
      </c>
      <c r="E7" s="10">
        <f>'Ratio Analysis'!E$5</f>
        <v>0.24375390549662487</v>
      </c>
      <c r="F7" s="10">
        <f>'Ratio Analysis'!F$5</f>
        <v>0.24851061330278934</v>
      </c>
      <c r="G7" s="9"/>
      <c r="H7" s="14" t="s">
        <v>43</v>
      </c>
      <c r="I7" s="16">
        <f>'Ratio Analysis'!B$5</f>
        <v>0.24829786587165184</v>
      </c>
      <c r="J7" s="16">
        <f>'Ratio Analysis'!C$5</f>
        <v>0.25098733487675334</v>
      </c>
      <c r="K7" s="16">
        <f>'Ratio Analysis'!D$5</f>
        <v>0.24140463839525986</v>
      </c>
      <c r="L7" s="16">
        <f>'Ratio Analysis'!E$5</f>
        <v>0.24375390549662487</v>
      </c>
      <c r="M7" s="16">
        <f>'Ratio Analysis'!F$5</f>
        <v>0.24851061330278934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100000000000001" customHeight="1">
      <c r="A8" s="9" t="s">
        <v>45</v>
      </c>
      <c r="B8" s="10">
        <f>'Ratio Analysis'!B$7</f>
        <v>2.4512162188746869E-2</v>
      </c>
      <c r="C8" s="10">
        <f>'Ratio Analysis'!C$7</f>
        <v>2.4338546740834636E-2</v>
      </c>
      <c r="D8" s="10">
        <f>'Ratio Analysis'!D$7</f>
        <v>1.8472441022167909E-2</v>
      </c>
      <c r="E8" s="10">
        <f>'Ratio Analysis'!E$7</f>
        <v>2.5103182256509159E-2</v>
      </c>
      <c r="F8" s="10">
        <f>'Ratio Analysis'!F$7</f>
        <v>2.9599770920064317E-2</v>
      </c>
      <c r="G8" s="9"/>
      <c r="H8" s="14" t="s">
        <v>45</v>
      </c>
      <c r="I8" s="16">
        <f>'Ratio Analysis'!B$7</f>
        <v>2.4512162188746869E-2</v>
      </c>
      <c r="J8" s="16">
        <f>'Ratio Analysis'!C$7</f>
        <v>2.4338546740834636E-2</v>
      </c>
      <c r="K8" s="16">
        <f>'Ratio Analysis'!D$7</f>
        <v>1.8472441022167909E-2</v>
      </c>
      <c r="L8" s="16">
        <f>'Ratio Analysis'!E$7</f>
        <v>2.5103182256509159E-2</v>
      </c>
      <c r="M8" s="16">
        <f>'Ratio Analysis'!F$7</f>
        <v>2.9599770920064317E-2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100000000000001" customHeight="1">
      <c r="A9" s="9" t="s">
        <v>49</v>
      </c>
      <c r="B9" s="11">
        <f>'Ratio Analysis'!B$11</f>
        <v>0.97217334988396564</v>
      </c>
      <c r="C9" s="11">
        <f>'Ratio Analysis'!C$11</f>
        <v>0.92779729683333523</v>
      </c>
      <c r="D9" s="11">
        <f>'Ratio Analysis'!D$11</f>
        <v>0.82057094513980777</v>
      </c>
      <c r="E9" s="11">
        <f>'Ratio Analysis'!E$11</f>
        <v>0.83186712113834338</v>
      </c>
      <c r="F9" s="11">
        <f>'Ratio Analysis'!F$11</f>
        <v>0.82268284602004471</v>
      </c>
      <c r="G9" s="9"/>
      <c r="H9" s="14" t="s">
        <v>49</v>
      </c>
      <c r="I9" s="17">
        <f>'Ratio Analysis'!B$11</f>
        <v>0.97217334988396564</v>
      </c>
      <c r="J9" s="14">
        <f>'Ratio Analysis'!C$11</f>
        <v>0.92779729683333523</v>
      </c>
      <c r="K9" s="14">
        <f>'Ratio Analysis'!D$11</f>
        <v>0.82057094513980777</v>
      </c>
      <c r="L9" s="14">
        <f>'Ratio Analysis'!E$11</f>
        <v>0.83186712113834338</v>
      </c>
      <c r="M9" s="14">
        <f>'Ratio Analysis'!F$11</f>
        <v>0.82268284602004471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100000000000001" customHeight="1">
      <c r="A10" s="9" t="s">
        <v>52</v>
      </c>
      <c r="B10" s="10">
        <f>'Ratio Analysis'!B$14</f>
        <v>0.65333708256764467</v>
      </c>
      <c r="C10" s="10">
        <f>'Ratio Analysis'!C$14</f>
        <v>0.62472024830515394</v>
      </c>
      <c r="D10" s="10">
        <f>'Ratio Analysis'!D$14</f>
        <v>0.65561252811506721</v>
      </c>
      <c r="E10" s="10">
        <f>'Ratio Analysis'!E$14</f>
        <v>0.6420389938153479</v>
      </c>
      <c r="F10" s="10">
        <f>'Ratio Analysis'!F$14</f>
        <v>0.62648616111309197</v>
      </c>
      <c r="G10" s="9"/>
      <c r="H10" s="14" t="s">
        <v>52</v>
      </c>
      <c r="I10" s="16">
        <f>'Ratio Analysis'!B$14</f>
        <v>0.65333708256764467</v>
      </c>
      <c r="J10" s="16">
        <f>'Ratio Analysis'!C$14</f>
        <v>0.62472024830515394</v>
      </c>
      <c r="K10" s="16">
        <f>'Ratio Analysis'!D$14</f>
        <v>0.65561252811506721</v>
      </c>
      <c r="L10" s="16">
        <f>'Ratio Analysis'!E$14</f>
        <v>0.6420389938153479</v>
      </c>
      <c r="M10" s="16">
        <f>'Ratio Analysis'!F$14</f>
        <v>0.62648616111309197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100000000000001" customHeight="1">
      <c r="A11" s="1"/>
      <c r="B11" s="3"/>
      <c r="C11" s="3"/>
      <c r="D11" s="3"/>
      <c r="E11" s="3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100000000000001" customHeight="1">
      <c r="A12" s="1"/>
      <c r="B12" s="3"/>
      <c r="C12" s="3"/>
      <c r="D12" s="3"/>
      <c r="E12" s="3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100000000000001" customHeight="1">
      <c r="A13" s="1"/>
      <c r="B13" s="3"/>
      <c r="C13" s="3"/>
      <c r="D13" s="3"/>
      <c r="E13" s="3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100000000000001" customHeight="1">
      <c r="A14" s="1"/>
      <c r="B14" s="3"/>
      <c r="C14" s="3"/>
      <c r="D14" s="3"/>
      <c r="E14" s="3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100000000000001" customHeight="1">
      <c r="A15" s="1"/>
      <c r="B15" s="3"/>
      <c r="C15" s="3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100000000000001" customHeight="1">
      <c r="A16" s="1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100000000000001" customHeight="1">
      <c r="A17" s="1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100000000000001" customHeight="1">
      <c r="A18" s="1"/>
      <c r="B18" s="3"/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100000000000001" customHeight="1">
      <c r="A19" s="1"/>
      <c r="B19" s="3"/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100000000000001" customHeight="1">
      <c r="A20" s="1"/>
      <c r="B20" s="3"/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100000000000001" customHeight="1">
      <c r="A21" s="1"/>
      <c r="B21" s="3"/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100000000000001" customHeight="1">
      <c r="A22" s="1"/>
      <c r="B22" s="3"/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100000000000001" customHeight="1">
      <c r="A23" s="1"/>
      <c r="B23" s="3"/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100000000000001" customHeight="1">
      <c r="A24" s="1"/>
      <c r="B24" s="3"/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100000000000001" customHeight="1">
      <c r="A25" s="1"/>
      <c r="B25" s="3"/>
      <c r="C25" s="3"/>
      <c r="D25" s="3"/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100000000000001" customHeight="1">
      <c r="A26" s="1"/>
      <c r="B26" s="3"/>
      <c r="C26" s="3"/>
      <c r="D26" s="3"/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100000000000001" customHeight="1">
      <c r="A27" s="1"/>
      <c r="B27" s="3"/>
      <c r="C27" s="3"/>
      <c r="D27" s="3"/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100000000000001" customHeight="1">
      <c r="A28" s="1"/>
      <c r="B28" s="3"/>
      <c r="C28" s="3"/>
      <c r="D28" s="3"/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100000000000001" customHeight="1">
      <c r="A29" s="1"/>
      <c r="B29" s="3"/>
      <c r="C29" s="3"/>
      <c r="D29" s="3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100000000000001" customHeight="1">
      <c r="A30" s="1"/>
      <c r="B30" s="3"/>
      <c r="C30" s="3"/>
      <c r="D30" s="3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100000000000001" customHeight="1">
      <c r="A31" s="1"/>
      <c r="B31" s="3"/>
      <c r="C31" s="3"/>
      <c r="D31" s="3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100000000000001" customHeight="1">
      <c r="A32" s="1"/>
      <c r="B32" s="3"/>
      <c r="C32" s="3"/>
      <c r="D32" s="3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>
      <c r="A33" s="1"/>
      <c r="B33" s="3"/>
      <c r="C33" s="3"/>
      <c r="D33" s="3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>
      <c r="A34" s="1"/>
      <c r="B34" s="3"/>
      <c r="C34" s="3"/>
      <c r="D34" s="3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>
      <c r="A35" s="1"/>
      <c r="B35" s="3"/>
      <c r="C35" s="3"/>
      <c r="D35" s="3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>
      <c r="A36" s="1"/>
      <c r="B36" s="3"/>
      <c r="C36" s="3"/>
      <c r="D36" s="3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>
      <c r="A37" s="1"/>
      <c r="B37" s="3"/>
      <c r="C37" s="3"/>
      <c r="D37" s="3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>
      <c r="A38" s="1"/>
      <c r="B38" s="3"/>
      <c r="C38" s="3"/>
      <c r="D38" s="3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>
      <c r="A39" s="1"/>
      <c r="B39" s="3"/>
      <c r="C39" s="3"/>
      <c r="D39" s="3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>
      <c r="A40" s="1"/>
      <c r="B40" s="3"/>
      <c r="C40" s="3"/>
      <c r="D40" s="3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>
      <c r="A41" s="1"/>
      <c r="B41" s="3"/>
      <c r="C41" s="3"/>
      <c r="D41" s="3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>
      <c r="A42" s="1"/>
      <c r="B42" s="3"/>
      <c r="C42" s="3"/>
      <c r="D42" s="3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100000000000001" customHeight="1">
      <c r="A43" s="1"/>
      <c r="B43" s="3"/>
      <c r="C43" s="3"/>
      <c r="D43" s="3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100000000000001" customHeight="1">
      <c r="A44" s="1"/>
      <c r="B44" s="3"/>
      <c r="C44" s="3"/>
      <c r="D44" s="3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100000000000001" customHeight="1">
      <c r="A45" s="1"/>
      <c r="B45" s="3"/>
      <c r="C45" s="3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100000000000001" customHeight="1">
      <c r="A46" s="1"/>
      <c r="B46" s="3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100000000000001" customHeight="1">
      <c r="A47" s="1"/>
      <c r="B47" s="3"/>
      <c r="C47" s="3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100000000000001" customHeight="1">
      <c r="A48" s="1"/>
      <c r="B48" s="3"/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100000000000001" customHeight="1">
      <c r="A49" s="1"/>
      <c r="B49" s="3"/>
      <c r="C49" s="3"/>
      <c r="D49" s="3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100000000000001" customHeight="1">
      <c r="A50" s="1"/>
      <c r="B50" s="3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10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.10000000000000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10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10000000000000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10000000000000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10000000000000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10000000000000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10000000000000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10000000000000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10000000000000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10000000000000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10000000000000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10000000000000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10000000000000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10000000000000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10000000000000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10000000000000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10000000000000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10000000000000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10000000000000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10000000000000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10000000000000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10000000000000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10000000000000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10000000000000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10000000000000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10000000000000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10000000000000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10000000000000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10000000000000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10000000000000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10000000000000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10000000000000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10000000000000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10000000000000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10000000000000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10000000000000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10000000000000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10000000000000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10000000000000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10000000000000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10000000000000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10000000000000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10000000000000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10000000000000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10000000000000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10000000000000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10000000000000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10000000000000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10000000000000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10000000000000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10000000000000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10000000000000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10000000000000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10000000000000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10000000000000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10000000000000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10000000000000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10000000000000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10000000000000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10000000000000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10000000000000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10000000000000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10000000000000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10000000000000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10000000000000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10000000000000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10000000000000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10000000000000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10000000000000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10000000000000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10000000000000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10000000000000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10000000000000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10000000000000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10000000000000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10000000000000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10000000000000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10000000000000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10000000000000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10000000000000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10000000000000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10000000000000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10000000000000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10000000000000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10000000000000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10000000000000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10000000000000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10000000000000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10000000000000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10000000000000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10000000000000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10000000000000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10000000000000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10000000000000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10000000000000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10000000000000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10000000000000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10000000000000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10000000000000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10000000000000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10000000000000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10000000000000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10000000000000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10000000000000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10000000000000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10000000000000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10000000000000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10000000000000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10000000000000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10000000000000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10000000000000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10000000000000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10000000000000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10000000000000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10000000000000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10000000000000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10000000000000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10000000000000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10000000000000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10000000000000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Henry Walker</cp:lastModifiedBy>
  <cp:revision/>
  <dcterms:created xsi:type="dcterms:W3CDTF">2026-06-13T01:33:36Z</dcterms:created>
  <dcterms:modified xsi:type="dcterms:W3CDTF">2026-06-13T01:33:36Z</dcterms:modified>
  <cp:category/>
  <cp:contentStatus/>
</cp:coreProperties>
</file>