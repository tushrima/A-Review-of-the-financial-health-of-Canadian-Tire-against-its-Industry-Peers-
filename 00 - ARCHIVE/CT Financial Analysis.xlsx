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6.xml" ContentType="application/vnd.openxmlformats-officedocument.drawing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mc:AlternateContent xmlns:mc="http://schemas.openxmlformats.org/markup-compatibility/2006">
    <mc:Choice Requires="x15">
      <x15ac:absPath xmlns:x15ac="http://schemas.microsoft.com/office/spreadsheetml/2010/11/ac" url="/Users/henry/Desktop/"/>
    </mc:Choice>
  </mc:AlternateContent>
  <xr:revisionPtr revIDLastSave="308" documentId="13_ncr:1_{B42660F0-B827-2E4F-9C5F-86F9027D8BA5}" xr6:coauthVersionLast="47" xr6:coauthVersionMax="47" xr10:uidLastSave="{EE2EA673-4F7F-4564-B839-4DF05D38AE90}"/>
  <bookViews>
    <workbookView xWindow="5980" yWindow="1700" windowWidth="47180" windowHeight="33560" firstSheet="9" activeTab="9" xr2:uid="{00000000-000D-0000-FFFF-FFFF00000000}"/>
  </bookViews>
  <sheets>
    <sheet name="Raw Data" sheetId="1" r:id="rId1"/>
    <sheet name="Ratios" sheetId="2" r:id="rId2"/>
    <sheet name="Trend Analysis" sheetId="3" r:id="rId3"/>
    <sheet name="Common Size IS" sheetId="4" r:id="rId4"/>
    <sheet name="PPE Analysis" sheetId="5" r:id="rId5"/>
    <sheet name="Dashboard" sheetId="6" r:id="rId6"/>
    <sheet name="Empire Balance Sheet" sheetId="7" r:id="rId7"/>
    <sheet name="Empire Income Statement" sheetId="8" r:id="rId8"/>
    <sheet name="Charts" sheetId="9" r:id="rId9"/>
    <sheet name="Industry Data" sheetId="10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3" l="1"/>
  <c r="AM31" i="10"/>
  <c r="AL31" i="10"/>
  <c r="AK31" i="10"/>
  <c r="AJ31" i="10"/>
  <c r="AI31" i="10"/>
  <c r="AH31" i="10"/>
  <c r="AG31" i="10"/>
  <c r="AF31" i="10"/>
  <c r="AE31" i="10"/>
  <c r="AD31" i="10"/>
  <c r="AC31" i="10"/>
  <c r="AB31" i="10"/>
  <c r="AA31" i="10"/>
  <c r="Z31" i="10"/>
  <c r="Y31" i="10"/>
  <c r="X31" i="10"/>
  <c r="W31" i="10"/>
  <c r="V31" i="10"/>
  <c r="U31" i="10"/>
  <c r="AM25" i="10"/>
  <c r="AL25" i="10"/>
  <c r="AK25" i="10"/>
  <c r="AJ25" i="10"/>
  <c r="AI25" i="10"/>
  <c r="AH25" i="10"/>
  <c r="AG25" i="10"/>
  <c r="AF25" i="10"/>
  <c r="AE25" i="10"/>
  <c r="AD25" i="10"/>
  <c r="AC25" i="10"/>
  <c r="AB25" i="10"/>
  <c r="AA25" i="10"/>
  <c r="Z25" i="10"/>
  <c r="Y25" i="10"/>
  <c r="X25" i="10"/>
  <c r="W25" i="10"/>
  <c r="V25" i="10"/>
  <c r="U25" i="10"/>
  <c r="AM19" i="10"/>
  <c r="AL19" i="10"/>
  <c r="AK19" i="10"/>
  <c r="AJ19" i="10"/>
  <c r="AI19" i="10"/>
  <c r="AH19" i="10"/>
  <c r="AG19" i="10"/>
  <c r="AF19" i="10"/>
  <c r="AE19" i="10"/>
  <c r="AD19" i="10"/>
  <c r="AC19" i="10"/>
  <c r="AB19" i="10"/>
  <c r="AA19" i="10"/>
  <c r="Z19" i="10"/>
  <c r="Y19" i="10"/>
  <c r="X19" i="10"/>
  <c r="W19" i="10"/>
  <c r="V19" i="10"/>
  <c r="U19" i="10"/>
  <c r="AM13" i="10"/>
  <c r="AL13" i="10"/>
  <c r="AK13" i="10"/>
  <c r="AJ13" i="10"/>
  <c r="AI13" i="10"/>
  <c r="AH13" i="10"/>
  <c r="AG13" i="10"/>
  <c r="AF13" i="10"/>
  <c r="AE13" i="10"/>
  <c r="AD13" i="10"/>
  <c r="AC13" i="10"/>
  <c r="AB13" i="10"/>
  <c r="AA13" i="10"/>
  <c r="Z13" i="10"/>
  <c r="Y13" i="10"/>
  <c r="X13" i="10"/>
  <c r="W13" i="10"/>
  <c r="V13" i="10"/>
  <c r="U13" i="10"/>
  <c r="U7" i="10"/>
  <c r="V7" i="10"/>
  <c r="W7" i="10"/>
  <c r="X7" i="10"/>
  <c r="Y7" i="10"/>
  <c r="AM7" i="10"/>
  <c r="AL7" i="10"/>
  <c r="AK7" i="10"/>
  <c r="AJ7" i="10"/>
  <c r="AI7" i="10"/>
  <c r="AH7" i="10"/>
  <c r="AG7" i="10"/>
  <c r="AF7" i="10"/>
  <c r="AE7" i="10"/>
  <c r="AD7" i="10"/>
  <c r="AC7" i="10"/>
  <c r="AA7" i="10"/>
  <c r="AB7" i="10"/>
  <c r="Z7" i="10"/>
  <c r="L40" i="8"/>
  <c r="B5" i="2"/>
  <c r="Q40" i="8"/>
  <c r="P40" i="8"/>
  <c r="O40" i="8"/>
  <c r="N40" i="8"/>
  <c r="M40" i="8"/>
  <c r="F3" i="2"/>
  <c r="F2" i="2"/>
  <c r="F5" i="6"/>
  <c r="E9" i="6"/>
  <c r="F9" i="6"/>
  <c r="C10" i="6"/>
  <c r="B10" i="6"/>
  <c r="D9" i="6"/>
  <c r="C9" i="6"/>
  <c r="B9" i="6"/>
  <c r="F8" i="6"/>
  <c r="E8" i="6"/>
  <c r="D8" i="6"/>
  <c r="C8" i="6"/>
  <c r="B8" i="6"/>
  <c r="F7" i="6"/>
  <c r="E7" i="6"/>
  <c r="D7" i="6"/>
  <c r="C7" i="6"/>
  <c r="B7" i="6"/>
  <c r="F6" i="6"/>
  <c r="E6" i="6"/>
  <c r="D6" i="6"/>
  <c r="C6" i="6"/>
  <c r="B6" i="6"/>
  <c r="E5" i="6"/>
  <c r="D5" i="6"/>
  <c r="C5" i="6"/>
  <c r="B5" i="6"/>
  <c r="F4" i="6"/>
  <c r="E4" i="6"/>
  <c r="D4" i="6"/>
  <c r="C4" i="6"/>
  <c r="B4" i="6"/>
  <c r="F8" i="5"/>
  <c r="E8" i="5"/>
  <c r="D8" i="5"/>
  <c r="C8" i="5"/>
  <c r="B8" i="5"/>
  <c r="F7" i="5"/>
  <c r="E7" i="5"/>
  <c r="D7" i="5"/>
  <c r="C7" i="5"/>
  <c r="B7" i="5"/>
  <c r="F6" i="5"/>
  <c r="E6" i="5"/>
  <c r="D6" i="5"/>
  <c r="C6" i="5"/>
  <c r="B6" i="5"/>
  <c r="F5" i="5"/>
  <c r="E5" i="5"/>
  <c r="D5" i="5"/>
  <c r="C5" i="5"/>
  <c r="B5" i="5"/>
  <c r="F4" i="5"/>
  <c r="E4" i="5"/>
  <c r="D4" i="5"/>
  <c r="C4" i="5"/>
  <c r="B4" i="5"/>
  <c r="F3" i="5"/>
  <c r="E3" i="5"/>
  <c r="D3" i="5"/>
  <c r="C3" i="5"/>
  <c r="B3" i="5"/>
  <c r="F2" i="5"/>
  <c r="E2" i="5"/>
  <c r="D2" i="5"/>
  <c r="C2" i="5"/>
  <c r="B2" i="5"/>
  <c r="F9" i="4"/>
  <c r="E9" i="4"/>
  <c r="D9" i="4"/>
  <c r="C9" i="4"/>
  <c r="B9" i="4"/>
  <c r="F8" i="4"/>
  <c r="E8" i="4"/>
  <c r="D8" i="4"/>
  <c r="C8" i="4"/>
  <c r="B8" i="4"/>
  <c r="F7" i="4"/>
  <c r="E7" i="4"/>
  <c r="D7" i="4"/>
  <c r="C7" i="4"/>
  <c r="B7" i="4"/>
  <c r="F6" i="4"/>
  <c r="E6" i="4"/>
  <c r="D6" i="4"/>
  <c r="C6" i="4"/>
  <c r="B6" i="4"/>
  <c r="F5" i="4"/>
  <c r="E5" i="4"/>
  <c r="D5" i="4"/>
  <c r="C5" i="4"/>
  <c r="B5" i="4"/>
  <c r="F4" i="4"/>
  <c r="E4" i="4"/>
  <c r="D4" i="4"/>
  <c r="C4" i="4"/>
  <c r="B4" i="4"/>
  <c r="F3" i="4"/>
  <c r="E3" i="4"/>
  <c r="D3" i="4"/>
  <c r="C3" i="4"/>
  <c r="B3" i="4"/>
  <c r="F2" i="4"/>
  <c r="E2" i="4"/>
  <c r="D2" i="4"/>
  <c r="C2" i="4"/>
  <c r="B2" i="4"/>
  <c r="F12" i="3"/>
  <c r="D12" i="3"/>
  <c r="C12" i="3"/>
  <c r="F11" i="3"/>
  <c r="E11" i="3"/>
  <c r="D11" i="3"/>
  <c r="C11" i="3"/>
  <c r="F10" i="3"/>
  <c r="E10" i="3"/>
  <c r="D10" i="3"/>
  <c r="C10" i="3"/>
  <c r="F9" i="3"/>
  <c r="E9" i="3"/>
  <c r="D9" i="3"/>
  <c r="C9" i="3"/>
  <c r="F8" i="3"/>
  <c r="E8" i="3"/>
  <c r="D8" i="3"/>
  <c r="C8" i="3"/>
  <c r="F7" i="3"/>
  <c r="E7" i="3"/>
  <c r="D7" i="3"/>
  <c r="C7" i="3"/>
  <c r="F6" i="3"/>
  <c r="E6" i="3"/>
  <c r="D6" i="3"/>
  <c r="C6" i="3"/>
  <c r="F5" i="3"/>
  <c r="E5" i="3"/>
  <c r="D5" i="3"/>
  <c r="C5" i="3"/>
  <c r="F4" i="3"/>
  <c r="E4" i="3"/>
  <c r="D4" i="3"/>
  <c r="C4" i="3"/>
  <c r="F3" i="3"/>
  <c r="E3" i="3"/>
  <c r="D3" i="3"/>
  <c r="C3" i="3"/>
  <c r="F2" i="3"/>
  <c r="E2" i="3"/>
  <c r="D2" i="3"/>
  <c r="C2" i="3"/>
  <c r="F15" i="2"/>
  <c r="E15" i="2"/>
  <c r="D15" i="2"/>
  <c r="C15" i="2"/>
  <c r="B15" i="2"/>
  <c r="F14" i="2"/>
  <c r="E14" i="2"/>
  <c r="D14" i="2"/>
  <c r="C14" i="2"/>
  <c r="B14" i="2"/>
  <c r="F13" i="2"/>
  <c r="E13" i="2"/>
  <c r="D13" i="2"/>
  <c r="C13" i="2"/>
  <c r="F12" i="2"/>
  <c r="E12" i="2"/>
  <c r="D12" i="2"/>
  <c r="C12" i="2"/>
  <c r="F11" i="2"/>
  <c r="E11" i="2"/>
  <c r="D11" i="2"/>
  <c r="C11" i="2"/>
  <c r="F10" i="2"/>
  <c r="E10" i="2"/>
  <c r="D10" i="2"/>
  <c r="C10" i="2"/>
  <c r="F9" i="2"/>
  <c r="E9" i="2"/>
  <c r="D9" i="2"/>
  <c r="C9" i="2"/>
  <c r="B9" i="2"/>
  <c r="F8" i="2"/>
  <c r="E8" i="2"/>
  <c r="D8" i="2"/>
  <c r="C8" i="2"/>
  <c r="B8" i="2"/>
  <c r="F7" i="2"/>
  <c r="E7" i="2"/>
  <c r="D7" i="2"/>
  <c r="C7" i="2"/>
  <c r="B7" i="2"/>
  <c r="F6" i="2"/>
  <c r="E6" i="2"/>
  <c r="D6" i="2"/>
  <c r="C6" i="2"/>
  <c r="B6" i="2"/>
  <c r="F5" i="2"/>
  <c r="E5" i="2"/>
  <c r="D5" i="2"/>
  <c r="C5" i="2"/>
  <c r="F4" i="2"/>
  <c r="E4" i="2"/>
  <c r="D4" i="2"/>
  <c r="C4" i="2"/>
  <c r="B4" i="2"/>
  <c r="E3" i="2"/>
  <c r="D3" i="2"/>
  <c r="C3" i="2"/>
  <c r="B3" i="2"/>
  <c r="E2" i="2"/>
  <c r="D2" i="2"/>
  <c r="C2" i="2"/>
  <c r="F12" i="6" l="1"/>
  <c r="E12" i="6"/>
  <c r="C12" i="6"/>
  <c r="B12" i="6"/>
  <c r="F11" i="6"/>
  <c r="E11" i="6"/>
  <c r="D11" i="6"/>
  <c r="C11" i="6"/>
  <c r="B11" i="6"/>
  <c r="F10" i="6"/>
  <c r="E10" i="6"/>
  <c r="D10" i="6"/>
  <c r="D12" i="6"/>
</calcChain>
</file>

<file path=xl/sharedStrings.xml><?xml version="1.0" encoding="utf-8"?>
<sst xmlns="http://schemas.openxmlformats.org/spreadsheetml/2006/main" count="424" uniqueCount="229">
  <si>
    <t>CT</t>
  </si>
  <si>
    <t>Income Statement</t>
  </si>
  <si>
    <t>Revenue</t>
  </si>
  <si>
    <t>Cost of Sales</t>
  </si>
  <si>
    <t>Gross Profit</t>
  </si>
  <si>
    <t>Operating Income</t>
  </si>
  <si>
    <t>Interest Expense (or Net Finance Costs)</t>
  </si>
  <si>
    <t>Income Before Tax</t>
  </si>
  <si>
    <t>Income Tax Expense</t>
  </si>
  <si>
    <t>Net Income</t>
  </si>
  <si>
    <t>Balance Sheet – Assets</t>
  </si>
  <si>
    <t>Cash &amp; Cash Equivalents</t>
  </si>
  <si>
    <t>Trade Receivables</t>
  </si>
  <si>
    <t>Inventory</t>
  </si>
  <si>
    <t>Total Current Assets</t>
  </si>
  <si>
    <t>Property &amp; Equipment (Net PPE)</t>
  </si>
  <si>
    <t>Goodwill</t>
  </si>
  <si>
    <t>Intangible Assets</t>
  </si>
  <si>
    <t>Total Assets</t>
  </si>
  <si>
    <t>Balance Sheet – Liabilities</t>
  </si>
  <si>
    <t>Accounts Payable</t>
  </si>
  <si>
    <t>Short-Term Borrowings (if shown)</t>
  </si>
  <si>
    <t>Current Portion of Long-Term Debt</t>
  </si>
  <si>
    <t>Total Current Liabilities</t>
  </si>
  <si>
    <t>Long-Term Debt</t>
  </si>
  <si>
    <t>Total Liabilities</t>
  </si>
  <si>
    <t>Balance Sheet – Equity</t>
  </si>
  <si>
    <t>Retained Earnings</t>
  </si>
  <si>
    <t>Total Shareholders’ Equity</t>
  </si>
  <si>
    <t>Total Equity</t>
  </si>
  <si>
    <t>Cash Flow Statement</t>
  </si>
  <si>
    <t>Cash From Operating Activities</t>
  </si>
  <si>
    <t>Capital Expenditures</t>
  </si>
  <si>
    <t>Depreciation Expense</t>
  </si>
  <si>
    <t>Dividends Paid</t>
  </si>
  <si>
    <t>PPE Note</t>
  </si>
  <si>
    <t>Gross PPE</t>
  </si>
  <si>
    <t>Accumulated Depreciation</t>
  </si>
  <si>
    <t>Net PPE</t>
  </si>
  <si>
    <t>CT Ratio</t>
  </si>
  <si>
    <t>Category</t>
  </si>
  <si>
    <t>Revenue Growth</t>
  </si>
  <si>
    <t>Growth</t>
  </si>
  <si>
    <t>Gross Margin</t>
  </si>
  <si>
    <t>Profitability</t>
  </si>
  <si>
    <t>Operating Margin</t>
  </si>
  <si>
    <t>Net Margin</t>
  </si>
  <si>
    <t>Current Ratio</t>
  </si>
  <si>
    <t>Liquidity</t>
  </si>
  <si>
    <t>Quick Ratio</t>
  </si>
  <si>
    <t>Debt Ratio</t>
  </si>
  <si>
    <t>Solvency</t>
  </si>
  <si>
    <t>Debt-to-Equity</t>
  </si>
  <si>
    <t>ROA</t>
  </si>
  <si>
    <t>ROE</t>
  </si>
  <si>
    <t>Asset Turnover</t>
  </si>
  <si>
    <t>Efficiency</t>
  </si>
  <si>
    <t>Inventory Turnover</t>
  </si>
  <si>
    <t>OCF / Net Income</t>
  </si>
  <si>
    <t>Cash Flow</t>
  </si>
  <si>
    <t>Free Cash Flow</t>
  </si>
  <si>
    <t>CT Item</t>
  </si>
  <si>
    <t>Item</t>
  </si>
  <si>
    <t>Net PPE / Total Assets</t>
  </si>
  <si>
    <t>Accumulated Depreciation / Gross PPE</t>
  </si>
  <si>
    <t>CapEx / Revenue</t>
  </si>
  <si>
    <t>Depreciation / Gross PPE</t>
  </si>
  <si>
    <t>Canadian Tire 2021–2025 Financial Analysis Summary</t>
  </si>
  <si>
    <t>Metric</t>
  </si>
  <si>
    <t>Balance Sheet as of:</t>
  </si>
  <si>
    <t>May-01-2021</t>
  </si>
  <si>
    <t xml:space="preserve">
</t>
  </si>
  <si>
    <t>May-07-2022</t>
  </si>
  <si>
    <t>May-06-2023</t>
  </si>
  <si>
    <t>Restated
May-04-2024</t>
  </si>
  <si>
    <t>May-03-2025</t>
  </si>
  <si>
    <t>May-02-2026</t>
  </si>
  <si>
    <t>Currency</t>
  </si>
  <si>
    <t>CAD</t>
  </si>
  <si>
    <t>ASSETS</t>
  </si>
  <si>
    <t>Cash And Equivalents</t>
  </si>
  <si>
    <t>Total Cash &amp; ST Investments</t>
  </si>
  <si>
    <t>Accounts Receivable</t>
  </si>
  <si>
    <t>Other Receivables</t>
  </si>
  <si>
    <t>Total Receivables</t>
  </si>
  <si>
    <t>Prepaid Exp.</t>
  </si>
  <si>
    <t>-</t>
  </si>
  <si>
    <t>Other Current Assets</t>
  </si>
  <si>
    <t>Gross Property, Plant &amp; Equipment</t>
  </si>
  <si>
    <t>Net Property, Plant &amp; Equipment</t>
  </si>
  <si>
    <t>Long-term Investments</t>
  </si>
  <si>
    <t>Other Intangibles</t>
  </si>
  <si>
    <t>Accounts Receivable Long-Term</t>
  </si>
  <si>
    <t>Loans Receivable Long-Term</t>
  </si>
  <si>
    <t>Deferred Tax Assets, LT</t>
  </si>
  <si>
    <t>Other Long-Term Assets</t>
  </si>
  <si>
    <t>LIABILITIES</t>
  </si>
  <si>
    <t>Accrued Exp.</t>
  </si>
  <si>
    <t>Curr. Port. of LT Debt</t>
  </si>
  <si>
    <t>Curr. Port. of Leases</t>
  </si>
  <si>
    <t>Curr. Income Taxes Payable</t>
  </si>
  <si>
    <t>Other Current Liabilities</t>
  </si>
  <si>
    <t>Long-Term Leases</t>
  </si>
  <si>
    <t>Unearned Revenue, Non-Current</t>
  </si>
  <si>
    <t>Pension &amp; Other Post-Retire. Benefits</t>
  </si>
  <si>
    <t>Def. Tax Liability, Non-Curr.</t>
  </si>
  <si>
    <t>Other Non-Current Liabilities</t>
  </si>
  <si>
    <t>Common Stock</t>
  </si>
  <si>
    <t>Additional Paid In Capital</t>
  </si>
  <si>
    <t>Treasury Stock</t>
  </si>
  <si>
    <t>Comprehensive Inc. and Other</t>
  </si>
  <si>
    <t>Total Common Equity</t>
  </si>
  <si>
    <t>Minority Interest</t>
  </si>
  <si>
    <t>Total Liabilities And Equity</t>
  </si>
  <si>
    <t>Reclassified
12 months
May-01-2021</t>
  </si>
  <si>
    <t>Reclassified
12 months
May-07-2022</t>
  </si>
  <si>
    <t>Reclassified
12 months
May-06-2023</t>
  </si>
  <si>
    <t>Restated
12 months
May-04-2024</t>
  </si>
  <si>
    <t>Reclassified
12 months
May-03-2025</t>
  </si>
  <si>
    <t>12 months
May-02-2026</t>
  </si>
  <si>
    <t>Other Revenue</t>
  </si>
  <si>
    <t>Total Revenue</t>
  </si>
  <si>
    <t>Cost Of Goods Sold</t>
  </si>
  <si>
    <t>Selling General &amp; Admin Exp.</t>
  </si>
  <si>
    <t>R &amp; D Exp.</t>
  </si>
  <si>
    <t>Depreciation &amp; Amort.</t>
  </si>
  <si>
    <t>Other Operating Expense/(Income)</t>
  </si>
  <si>
    <t>Other Operating Exp., Total</t>
  </si>
  <si>
    <t>Interest Expense</t>
  </si>
  <si>
    <t>Interest and Invest. Income</t>
  </si>
  <si>
    <t>Net Interest Exp.</t>
  </si>
  <si>
    <t>Other Non-Operating Inc. (Exp.)</t>
  </si>
  <si>
    <t>EBT Excl. Unusual Items</t>
  </si>
  <si>
    <t>Impairment of Goodwill</t>
  </si>
  <si>
    <t>Gain (Loss) On Sale Of Assets</t>
  </si>
  <si>
    <t>Asset Writedown</t>
  </si>
  <si>
    <t>Other Unusual Items</t>
  </si>
  <si>
    <t>EBT Incl. Unusual Items</t>
  </si>
  <si>
    <t>Earnings from Cont. Ops.</t>
  </si>
  <si>
    <t>Earnings of Discontinued Ops.</t>
  </si>
  <si>
    <t>Extraord. Item &amp; Account. Change</t>
  </si>
  <si>
    <t>Net Income to Company</t>
  </si>
  <si>
    <t>Minority Int. in Earnings</t>
  </si>
  <si>
    <t>Pref. Dividends and Other Adj.</t>
  </si>
  <si>
    <t>NI to Common Incl Extra Items</t>
  </si>
  <si>
    <t>NI to Common Excl. Extra Items</t>
  </si>
  <si>
    <t>Per Share Items</t>
  </si>
  <si>
    <t>Basic EPS</t>
  </si>
  <si>
    <t>Basic EPS Excl. Extra Items</t>
  </si>
  <si>
    <t>Weighted Avg. Basic Shares Out.</t>
  </si>
  <si>
    <t>Diluted EPS</t>
  </si>
  <si>
    <t>Diluted EPS Excl. Extra Items</t>
  </si>
  <si>
    <t>Weighted Avg. Diluted Shares Out.</t>
  </si>
  <si>
    <t>Normalized Basic EPS</t>
  </si>
  <si>
    <t>Normalized Diluted EPS</t>
  </si>
  <si>
    <t>Dividends per Share</t>
  </si>
  <si>
    <t>Payout Ratio %</t>
  </si>
  <si>
    <t>Supplemental Items</t>
  </si>
  <si>
    <t>EBITDA</t>
  </si>
  <si>
    <t>EBITA</t>
  </si>
  <si>
    <t>EBIT</t>
  </si>
  <si>
    <t>EBITDAR</t>
  </si>
  <si>
    <t>Effective Tax Rate %</t>
  </si>
  <si>
    <t>Total Current Taxes</t>
  </si>
  <si>
    <t>Total Deferred Taxes</t>
  </si>
  <si>
    <t>Normalized Net Income</t>
  </si>
  <si>
    <t>Interest Capitalized</t>
  </si>
  <si>
    <t>Interest on Long Term Debt</t>
  </si>
  <si>
    <t>Non-Cash Pension Expense</t>
  </si>
  <si>
    <t>Jun-22-2022</t>
  </si>
  <si>
    <t>Jun-22-2023</t>
  </si>
  <si>
    <t>Jun-20-2024</t>
  </si>
  <si>
    <t>Jun-19-2025</t>
  </si>
  <si>
    <t>Jun-18-2026</t>
  </si>
  <si>
    <t>Filing Date</t>
  </si>
  <si>
    <t>RC</t>
  </si>
  <si>
    <t>RS</t>
  </si>
  <si>
    <t>O</t>
  </si>
  <si>
    <t>Restatement Type</t>
  </si>
  <si>
    <t>REP</t>
  </si>
  <si>
    <t>Calculation Type</t>
  </si>
  <si>
    <t>Supplemental Operating Expense Items</t>
  </si>
  <si>
    <t>Net Rental Exp.</t>
  </si>
  <si>
    <t>Imputed Oper. Lease Interest Exp.</t>
  </si>
  <si>
    <t>NM</t>
  </si>
  <si>
    <t>Imputed Oper. Lease Depreciation</t>
  </si>
  <si>
    <t>Stock-Based Comp., SG&amp;A Exp.</t>
  </si>
  <si>
    <t>Stock-Based Comp., Unallocated</t>
  </si>
  <si>
    <t>Stock-Based Comp., Total</t>
  </si>
  <si>
    <t>Year</t>
  </si>
  <si>
    <t>Canadian Tire Net Income</t>
  </si>
  <si>
    <t>Empire Net Income</t>
  </si>
  <si>
    <t xml:space="preserve"> Canadian Tire Net Margin</t>
  </si>
  <si>
    <t>Empire Net Margin</t>
  </si>
  <si>
    <t>Company</t>
  </si>
  <si>
    <t>Period</t>
  </si>
  <si>
    <t>Period End Date</t>
  </si>
  <si>
    <t>Current Assets</t>
  </si>
  <si>
    <t>Current Liabilities</t>
  </si>
  <si>
    <t>Cash &amp; Equivalents</t>
  </si>
  <si>
    <t>Total Debt</t>
  </si>
  <si>
    <t>Short-Term Debt</t>
  </si>
  <si>
    <t>CFO</t>
  </si>
  <si>
    <t>CapEx</t>
  </si>
  <si>
    <t>Share Repurchases</t>
  </si>
  <si>
    <t>EBITDA Margin</t>
  </si>
  <si>
    <t>EBIT Margin</t>
  </si>
  <si>
    <t>Debt/Equity</t>
  </si>
  <si>
    <t>Debt/Capital</t>
  </si>
  <si>
    <t>Debt/EBITDA</t>
  </si>
  <si>
    <t>Metro Inc.</t>
  </si>
  <si>
    <t>25/09/2021</t>
  </si>
  <si>
    <t>24/09/2022</t>
  </si>
  <si>
    <t>30/09/2023</t>
  </si>
  <si>
    <t>28/09/2024</t>
  </si>
  <si>
    <t>27/09/2025</t>
  </si>
  <si>
    <t>Average over 5 years</t>
  </si>
  <si>
    <t>Loblaw Companies Limited</t>
  </si>
  <si>
    <t>31/12/2022</t>
  </si>
  <si>
    <t>30/12/2023</t>
  </si>
  <si>
    <t>28/12/2024</t>
  </si>
  <si>
    <t>Empire Company Limited</t>
  </si>
  <si>
    <t>Dollarama Inc. (TSX:DOL)</t>
  </si>
  <si>
    <t>Jan-31-2021</t>
  </si>
  <si>
    <t>Jan-30-2022</t>
  </si>
  <si>
    <t>Jan-29-2023</t>
  </si>
  <si>
    <t>Jan-28-2024</t>
  </si>
  <si>
    <t>Feb-02-2025</t>
  </si>
  <si>
    <t>Canadian Tire Corporation, Limited (TSX:CTC.A)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</si>
</sst>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$&quot;#,##0.00_);[Red]\(&quot;$&quot;#,##0.00\)"/>
    <numFmt numFmtId="164" formatCode="\$#,##0.0;[Red]\(\$#,##0.0\);\-"/>
    <numFmt numFmtId="165" formatCode="0.0%;[Red]\(0.0%\);\-"/>
    <numFmt numFmtId="166" formatCode="0.00\x"/>
    <numFmt numFmtId="167" formatCode="[$$-1009]#,##0.00"/>
    <numFmt numFmtId="168" formatCode="_-[$$-1009]* #,##0.0_-;\-[$$-1009]* #,##0.0_-;_-[$$-1009]* &quot;-&quot;?_-;_-@_-"/>
  </numFmts>
  <fonts count="13">
    <font>
      <sz val="11"/>
      <name val="Carlito"/>
    </font>
    <font>
      <b/>
      <sz val="14"/>
      <color rgb="FFFFFFFF"/>
      <name val="Carlito"/>
    </font>
    <font>
      <b/>
      <sz val="12"/>
      <color rgb="FFFFFFFF"/>
      <name val="Calibri"/>
      <family val="2"/>
    </font>
    <font>
      <sz val="12"/>
      <name val="Calibri"/>
      <family val="2"/>
    </font>
    <font>
      <b/>
      <sz val="12"/>
      <name val="Calibri"/>
      <family val="2"/>
    </font>
    <font>
      <u/>
      <sz val="11"/>
      <color theme="10"/>
      <name val="Carlito"/>
    </font>
    <font>
      <b/>
      <sz val="8"/>
      <color rgb="FF48535B"/>
      <name val="Verdana"/>
      <charset val="1"/>
    </font>
    <font>
      <sz val="11"/>
      <color rgb="FF333333"/>
      <name val="Verdana"/>
      <charset val="1"/>
    </font>
    <font>
      <sz val="8"/>
      <color rgb="FF000000"/>
      <name val="Verdana"/>
      <charset val="1"/>
    </font>
    <font>
      <b/>
      <i/>
      <sz val="8"/>
      <color rgb="FF48535B"/>
      <name val="Verdana"/>
      <charset val="1"/>
    </font>
    <font>
      <sz val="8"/>
      <color rgb="FF48535B"/>
      <name val="Verdana"/>
      <charset val="1"/>
    </font>
    <font>
      <b/>
      <sz val="8"/>
      <color rgb="FF000000"/>
      <name val="Verdana"/>
      <charset val="1"/>
    </font>
    <font>
      <b/>
      <sz val="11"/>
      <name val="Carlito"/>
    </font>
  </fonts>
  <fills count="13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0F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AFCB1"/>
        <bgColor indexed="64"/>
      </patternFill>
    </fill>
    <fill>
      <patternFill patternType="solid">
        <fgColor theme="9" tint="0.79998168889431442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EDFDE"/>
      </left>
      <right style="thin">
        <color rgb="FFFFFFFF"/>
      </right>
      <top style="thin">
        <color rgb="FFDEDFDE"/>
      </top>
      <bottom style="thin">
        <color rgb="FFFFFFFF"/>
      </bottom>
      <diagonal/>
    </border>
    <border>
      <left style="thin">
        <color rgb="FFFFFFFF"/>
      </left>
      <right/>
      <top style="thin">
        <color rgb="FFDEDFDE"/>
      </top>
      <bottom style="thin">
        <color rgb="FFFFFFFF"/>
      </bottom>
      <diagonal/>
    </border>
    <border>
      <left/>
      <right style="thin">
        <color rgb="FFFFFFFF"/>
      </right>
      <top style="thin">
        <color rgb="FFDEDFDE"/>
      </top>
      <bottom style="thin">
        <color rgb="FFFFFFFF"/>
      </bottom>
      <diagonal/>
    </border>
    <border>
      <left style="thin">
        <color rgb="FFDEDFDE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DEDFDE"/>
      </right>
      <top style="thin">
        <color rgb="FFFFFFFF"/>
      </top>
      <bottom style="thin">
        <color rgb="FFFFFFFF"/>
      </bottom>
      <diagonal/>
    </border>
    <border>
      <left style="thin">
        <color rgb="FFDEDFDE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EFEFE2"/>
      </left>
      <right/>
      <top style="thin">
        <color rgb="FFEFEFE2"/>
      </top>
      <bottom/>
      <diagonal/>
    </border>
    <border>
      <left/>
      <right style="thin">
        <color rgb="FFEFEFE2"/>
      </right>
      <top style="thin">
        <color rgb="FFEFEFE2"/>
      </top>
      <bottom/>
      <diagonal/>
    </border>
    <border>
      <left style="thin">
        <color rgb="FFEFEFE2"/>
      </left>
      <right style="thin">
        <color rgb="FFDEDFDE"/>
      </right>
      <top style="thin">
        <color rgb="FFEFEFE2"/>
      </top>
      <bottom/>
      <diagonal/>
    </border>
    <border>
      <left style="thin">
        <color rgb="FFDEDFDE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EFEFE2"/>
      </left>
      <right/>
      <top/>
      <bottom style="thin">
        <color rgb="FFEFEFE2"/>
      </bottom>
      <diagonal/>
    </border>
    <border>
      <left/>
      <right style="thin">
        <color rgb="FFEFEFE2"/>
      </right>
      <top/>
      <bottom style="thin">
        <color rgb="FFEFEFE2"/>
      </bottom>
      <diagonal/>
    </border>
    <border>
      <left style="thin">
        <color rgb="FFEFEFE2"/>
      </left>
      <right style="thin">
        <color rgb="FFDEDFDE"/>
      </right>
      <top/>
      <bottom style="thin">
        <color rgb="FFEFEFE2"/>
      </bottom>
      <diagonal/>
    </border>
    <border>
      <left style="thin">
        <color rgb="FFEFEFE2"/>
      </left>
      <right/>
      <top style="thin">
        <color rgb="FFEFEFE2"/>
      </top>
      <bottom style="thin">
        <color rgb="FFEFEFE2"/>
      </bottom>
      <diagonal/>
    </border>
    <border>
      <left/>
      <right style="thin">
        <color rgb="FFEFEFE2"/>
      </right>
      <top style="thin">
        <color rgb="FFEFEFE2"/>
      </top>
      <bottom style="thin">
        <color rgb="FFEFEFE2"/>
      </bottom>
      <diagonal/>
    </border>
    <border>
      <left style="thin">
        <color rgb="FFEFEFE2"/>
      </left>
      <right style="thin">
        <color rgb="FFDEDFDE"/>
      </right>
      <top style="thin">
        <color rgb="FFEFEFE2"/>
      </top>
      <bottom style="thin">
        <color rgb="FFEFEFE2"/>
      </bottom>
      <diagonal/>
    </border>
    <border>
      <left style="thin">
        <color rgb="FFDEDFDE"/>
      </left>
      <right style="thin">
        <color rgb="FFFFFFFF"/>
      </right>
      <top/>
      <bottom style="thin">
        <color rgb="FFDEDFDE"/>
      </bottom>
      <diagonal/>
    </border>
    <border>
      <left style="thin">
        <color rgb="FFFFFFFF"/>
      </left>
      <right/>
      <top/>
      <bottom style="thin">
        <color rgb="FFDEDFDE"/>
      </bottom>
      <diagonal/>
    </border>
    <border>
      <left/>
      <right style="thin">
        <color rgb="FFFFFFFF"/>
      </right>
      <top/>
      <bottom style="thin">
        <color rgb="FFDEDFDE"/>
      </bottom>
      <diagonal/>
    </border>
    <border>
      <left style="thin">
        <color rgb="FFEFEFE2"/>
      </left>
      <right/>
      <top/>
      <bottom style="thin">
        <color rgb="FFDEDFDE"/>
      </bottom>
      <diagonal/>
    </border>
    <border>
      <left/>
      <right style="thin">
        <color rgb="FFEFEFE2"/>
      </right>
      <top/>
      <bottom style="thin">
        <color rgb="FFDEDFDE"/>
      </bottom>
      <diagonal/>
    </border>
    <border>
      <left style="thin">
        <color rgb="FFEFEFE2"/>
      </left>
      <right style="thin">
        <color rgb="FFDEDFDE"/>
      </right>
      <top/>
      <bottom style="thin">
        <color rgb="FFDEDFDE"/>
      </bottom>
      <diagonal/>
    </border>
    <border>
      <left style="thin">
        <color rgb="FFDEDFDE"/>
      </left>
      <right/>
      <top/>
      <bottom style="thin">
        <color rgb="FFFFFFFF"/>
      </bottom>
      <diagonal/>
    </border>
    <border>
      <left style="thin">
        <color rgb="FFDEDFDE"/>
      </left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EDFDE"/>
      </left>
      <right/>
      <top style="thin">
        <color rgb="FFFFFFFF"/>
      </top>
      <bottom/>
      <diagonal/>
    </border>
    <border>
      <left style="thin">
        <color rgb="FFEFEFE2"/>
      </left>
      <right style="thin">
        <color rgb="FFEFEFE2"/>
      </right>
      <top style="thin">
        <color rgb="FFEFEFE2"/>
      </top>
      <bottom/>
      <diagonal/>
    </border>
    <border>
      <left style="thin">
        <color rgb="FFEFEFE2"/>
      </left>
      <right style="thin">
        <color rgb="FFEFEFE2"/>
      </right>
      <top/>
      <bottom style="thin">
        <color rgb="FFEFEFE2"/>
      </bottom>
      <diagonal/>
    </border>
    <border>
      <left style="thin">
        <color rgb="FFEFEFE2"/>
      </left>
      <right style="thin">
        <color rgb="FFEFEFE2"/>
      </right>
      <top style="thin">
        <color rgb="FFEFEFE2"/>
      </top>
      <bottom style="thin">
        <color rgb="FFEFEFE2"/>
      </bottom>
      <diagonal/>
    </border>
    <border>
      <left style="thin">
        <color rgb="FFDEDFDE"/>
      </left>
      <right/>
      <top/>
      <bottom style="thin">
        <color rgb="FFDEDFDE"/>
      </bottom>
      <diagonal/>
    </border>
    <border>
      <left style="thin">
        <color rgb="FFEFEFE2"/>
      </left>
      <right style="thin">
        <color rgb="FFEFEFE2"/>
      </right>
      <top/>
      <bottom style="thin">
        <color rgb="FFDEDFDE"/>
      </bottom>
      <diagonal/>
    </border>
    <border>
      <left style="thin">
        <color rgb="FFFFFFFF"/>
      </left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16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0" fontId="3" fillId="0" borderId="0" xfId="0" applyFont="1"/>
    <xf numFmtId="0" fontId="2" fillId="2" borderId="1" xfId="0" applyFont="1" applyFill="1" applyBorder="1" applyAlignment="1">
      <alignment horizontal="center"/>
    </xf>
    <xf numFmtId="0" fontId="3" fillId="0" borderId="1" xfId="0" applyFont="1" applyBorder="1"/>
    <xf numFmtId="165" fontId="3" fillId="0" borderId="1" xfId="0" applyNumberFormat="1" applyFont="1" applyBorder="1"/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166" fontId="3" fillId="0" borderId="1" xfId="0" applyNumberFormat="1" applyFont="1" applyBorder="1"/>
    <xf numFmtId="164" fontId="3" fillId="0" borderId="1" xfId="0" applyNumberFormat="1" applyFont="1" applyBorder="1"/>
    <xf numFmtId="165" fontId="3" fillId="0" borderId="1" xfId="0" applyNumberFormat="1" applyFont="1" applyBorder="1" applyAlignment="1">
      <alignment horizontal="center"/>
    </xf>
    <xf numFmtId="166" fontId="3" fillId="0" borderId="1" xfId="0" applyNumberFormat="1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167" fontId="3" fillId="0" borderId="1" xfId="0" applyNumberFormat="1" applyFont="1" applyBorder="1" applyAlignment="1">
      <alignment horizontal="center"/>
    </xf>
    <xf numFmtId="165" fontId="3" fillId="0" borderId="0" xfId="0" applyNumberFormat="1" applyFont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left"/>
    </xf>
    <xf numFmtId="164" fontId="4" fillId="3" borderId="1" xfId="0" applyNumberFormat="1" applyFont="1" applyFill="1" applyBorder="1" applyAlignment="1">
      <alignment horizontal="left"/>
    </xf>
    <xf numFmtId="168" fontId="3" fillId="0" borderId="1" xfId="0" applyNumberFormat="1" applyFont="1" applyBorder="1"/>
    <xf numFmtId="168" fontId="4" fillId="3" borderId="1" xfId="0" applyNumberFormat="1" applyFont="1" applyFill="1" applyBorder="1" applyAlignment="1">
      <alignment horizontal="left"/>
    </xf>
    <xf numFmtId="0" fontId="6" fillId="4" borderId="2" xfId="0" applyFont="1" applyFill="1" applyBorder="1" applyAlignment="1">
      <alignment wrapText="1"/>
    </xf>
    <xf numFmtId="0" fontId="0" fillId="4" borderId="3" xfId="0" applyFill="1" applyBorder="1"/>
    <xf numFmtId="0" fontId="7" fillId="4" borderId="4" xfId="0" applyFont="1" applyFill="1" applyBorder="1" applyAlignment="1">
      <alignment wrapText="1"/>
    </xf>
    <xf numFmtId="0" fontId="0" fillId="4" borderId="3" xfId="0" applyFill="1" applyBorder="1" applyAlignment="1">
      <alignment wrapText="1"/>
    </xf>
    <xf numFmtId="0" fontId="8" fillId="4" borderId="5" xfId="0" applyFont="1" applyFill="1" applyBorder="1" applyAlignment="1">
      <alignment wrapText="1"/>
    </xf>
    <xf numFmtId="0" fontId="9" fillId="4" borderId="6" xfId="0" applyFont="1" applyFill="1" applyBorder="1" applyAlignment="1">
      <alignment wrapText="1"/>
    </xf>
    <xf numFmtId="0" fontId="0" fillId="4" borderId="7" xfId="0" applyFill="1" applyBorder="1"/>
    <xf numFmtId="0" fontId="9" fillId="4" borderId="8" xfId="0" applyFont="1" applyFill="1" applyBorder="1" applyAlignment="1">
      <alignment wrapText="1"/>
    </xf>
    <xf numFmtId="0" fontId="6" fillId="4" borderId="6" xfId="0" applyFont="1" applyFill="1" applyBorder="1"/>
    <xf numFmtId="0" fontId="10" fillId="4" borderId="6" xfId="0" applyFont="1" applyFill="1" applyBorder="1"/>
    <xf numFmtId="0" fontId="10" fillId="4" borderId="8" xfId="0" applyFont="1" applyFill="1" applyBorder="1"/>
    <xf numFmtId="0" fontId="8" fillId="4" borderId="9" xfId="0" applyFont="1" applyFill="1" applyBorder="1" applyAlignment="1">
      <alignment wrapText="1"/>
    </xf>
    <xf numFmtId="0" fontId="10" fillId="4" borderId="10" xfId="0" applyFont="1" applyFill="1" applyBorder="1"/>
    <xf numFmtId="0" fontId="0" fillId="4" borderId="11" xfId="0" applyFill="1" applyBorder="1"/>
    <xf numFmtId="0" fontId="5" fillId="5" borderId="12" xfId="1" applyFill="1" applyBorder="1" applyAlignment="1"/>
    <xf numFmtId="0" fontId="0" fillId="5" borderId="13" xfId="0" applyFill="1" applyBorder="1"/>
    <xf numFmtId="0" fontId="5" fillId="5" borderId="14" xfId="1" applyFill="1" applyBorder="1" applyAlignment="1"/>
    <xf numFmtId="0" fontId="0" fillId="4" borderId="15" xfId="0" applyFill="1" applyBorder="1"/>
    <xf numFmtId="0" fontId="10" fillId="4" borderId="16" xfId="0" applyFont="1" applyFill="1" applyBorder="1"/>
    <xf numFmtId="0" fontId="0" fillId="4" borderId="17" xfId="0" applyFill="1" applyBorder="1"/>
    <xf numFmtId="0" fontId="0" fillId="5" borderId="18" xfId="0" applyFill="1" applyBorder="1"/>
    <xf numFmtId="0" fontId="0" fillId="5" borderId="19" xfId="0" applyFill="1" applyBorder="1"/>
    <xf numFmtId="0" fontId="0" fillId="5" borderId="20" xfId="0" applyFill="1" applyBorder="1"/>
    <xf numFmtId="0" fontId="11" fillId="5" borderId="12" xfId="0" applyFont="1" applyFill="1" applyBorder="1"/>
    <xf numFmtId="0" fontId="11" fillId="5" borderId="14" xfId="0" applyFont="1" applyFill="1" applyBorder="1"/>
    <xf numFmtId="0" fontId="6" fillId="4" borderId="16" xfId="0" applyFont="1" applyFill="1" applyBorder="1"/>
    <xf numFmtId="0" fontId="5" fillId="5" borderId="18" xfId="1" applyFill="1" applyBorder="1"/>
    <xf numFmtId="0" fontId="5" fillId="5" borderId="20" xfId="1" applyFill="1" applyBorder="1"/>
    <xf numFmtId="0" fontId="10" fillId="4" borderId="21" xfId="0" applyFont="1" applyFill="1" applyBorder="1"/>
    <xf numFmtId="0" fontId="0" fillId="4" borderId="22" xfId="0" applyFill="1" applyBorder="1"/>
    <xf numFmtId="0" fontId="10" fillId="4" borderId="23" xfId="0" applyFont="1" applyFill="1" applyBorder="1"/>
    <xf numFmtId="4" fontId="5" fillId="5" borderId="12" xfId="1" applyNumberFormat="1" applyFill="1" applyBorder="1" applyAlignment="1"/>
    <xf numFmtId="4" fontId="5" fillId="5" borderId="14" xfId="1" applyNumberFormat="1" applyFill="1" applyBorder="1" applyAlignment="1"/>
    <xf numFmtId="0" fontId="8" fillId="5" borderId="12" xfId="0" applyFont="1" applyFill="1" applyBorder="1"/>
    <xf numFmtId="0" fontId="8" fillId="5" borderId="12" xfId="0" quotePrefix="1" applyFont="1" applyFill="1" applyBorder="1"/>
    <xf numFmtId="0" fontId="8" fillId="5" borderId="14" xfId="0" applyFont="1" applyFill="1" applyBorder="1"/>
    <xf numFmtId="0" fontId="8" fillId="5" borderId="14" xfId="0" quotePrefix="1" applyFont="1" applyFill="1" applyBorder="1"/>
    <xf numFmtId="4" fontId="5" fillId="5" borderId="18" xfId="1" applyNumberFormat="1" applyFill="1" applyBorder="1"/>
    <xf numFmtId="4" fontId="5" fillId="5" borderId="20" xfId="1" applyNumberFormat="1" applyFill="1" applyBorder="1"/>
    <xf numFmtId="0" fontId="0" fillId="4" borderId="24" xfId="0" applyFill="1" applyBorder="1"/>
    <xf numFmtId="0" fontId="6" fillId="4" borderId="25" xfId="0" applyFont="1" applyFill="1" applyBorder="1"/>
    <xf numFmtId="0" fontId="0" fillId="4" borderId="26" xfId="0" applyFill="1" applyBorder="1"/>
    <xf numFmtId="0" fontId="0" fillId="5" borderId="27" xfId="0" applyFill="1" applyBorder="1"/>
    <xf numFmtId="0" fontId="0" fillId="5" borderId="28" xfId="0" applyFill="1" applyBorder="1"/>
    <xf numFmtId="0" fontId="0" fillId="5" borderId="29" xfId="0" applyFill="1" applyBorder="1"/>
    <xf numFmtId="0" fontId="8" fillId="4" borderId="31" xfId="0" applyFont="1" applyFill="1" applyBorder="1" applyAlignment="1">
      <alignment wrapText="1"/>
    </xf>
    <xf numFmtId="0" fontId="9" fillId="4" borderId="32" xfId="0" applyFont="1" applyFill="1" applyBorder="1" applyAlignment="1">
      <alignment wrapText="1"/>
    </xf>
    <xf numFmtId="0" fontId="10" fillId="4" borderId="32" xfId="0" applyFont="1" applyFill="1" applyBorder="1"/>
    <xf numFmtId="0" fontId="8" fillId="4" borderId="33" xfId="0" applyFont="1" applyFill="1" applyBorder="1" applyAlignment="1">
      <alignment wrapText="1"/>
    </xf>
    <xf numFmtId="4" fontId="5" fillId="5" borderId="34" xfId="1" applyNumberFormat="1" applyFill="1" applyBorder="1" applyAlignment="1"/>
    <xf numFmtId="0" fontId="0" fillId="4" borderId="30" xfId="0" applyFill="1" applyBorder="1"/>
    <xf numFmtId="0" fontId="0" fillId="5" borderId="35" xfId="0" applyFill="1" applyBorder="1"/>
    <xf numFmtId="0" fontId="5" fillId="5" borderId="34" xfId="1" applyFill="1" applyBorder="1" applyAlignment="1"/>
    <xf numFmtId="0" fontId="11" fillId="5" borderId="34" xfId="0" applyFont="1" applyFill="1" applyBorder="1"/>
    <xf numFmtId="4" fontId="5" fillId="5" borderId="35" xfId="1" applyNumberFormat="1" applyFill="1" applyBorder="1"/>
    <xf numFmtId="0" fontId="10" fillId="4" borderId="36" xfId="0" applyFont="1" applyFill="1" applyBorder="1"/>
    <xf numFmtId="0" fontId="8" fillId="5" borderId="34" xfId="0" applyFont="1" applyFill="1" applyBorder="1"/>
    <xf numFmtId="0" fontId="8" fillId="5" borderId="34" xfId="0" quotePrefix="1" applyFont="1" applyFill="1" applyBorder="1"/>
    <xf numFmtId="0" fontId="5" fillId="5" borderId="35" xfId="1" applyFill="1" applyBorder="1"/>
    <xf numFmtId="8" fontId="5" fillId="5" borderId="12" xfId="1" applyNumberFormat="1" applyFill="1" applyBorder="1" applyAlignment="1"/>
    <xf numFmtId="8" fontId="5" fillId="5" borderId="34" xfId="1" applyNumberFormat="1" applyFill="1" applyBorder="1" applyAlignment="1"/>
    <xf numFmtId="8" fontId="5" fillId="5" borderId="14" xfId="1" applyNumberFormat="1" applyFill="1" applyBorder="1" applyAlignment="1"/>
    <xf numFmtId="10" fontId="5" fillId="5" borderId="12" xfId="1" applyNumberFormat="1" applyFill="1" applyBorder="1" applyAlignment="1"/>
    <xf numFmtId="10" fontId="5" fillId="5" borderId="34" xfId="1" applyNumberFormat="1" applyFill="1" applyBorder="1" applyAlignment="1"/>
    <xf numFmtId="10" fontId="5" fillId="5" borderId="14" xfId="1" applyNumberFormat="1" applyFill="1" applyBorder="1" applyAlignment="1"/>
    <xf numFmtId="0" fontId="0" fillId="4" borderId="37" xfId="0" applyFill="1" applyBorder="1"/>
    <xf numFmtId="0" fontId="0" fillId="5" borderId="38" xfId="0" applyFill="1" applyBorder="1"/>
    <xf numFmtId="0" fontId="0" fillId="4" borderId="39" xfId="0" applyFill="1" applyBorder="1" applyAlignment="1">
      <alignment wrapText="1"/>
    </xf>
    <xf numFmtId="0" fontId="0" fillId="4" borderId="0" xfId="0" applyFill="1" applyAlignment="1">
      <alignment wrapText="1"/>
    </xf>
    <xf numFmtId="0" fontId="0" fillId="0" borderId="0" xfId="0" applyAlignment="1">
      <alignment wrapText="1"/>
    </xf>
    <xf numFmtId="0" fontId="3" fillId="0" borderId="1" xfId="0" applyFont="1" applyBorder="1" applyAlignment="1">
      <alignment wrapText="1"/>
    </xf>
    <xf numFmtId="168" fontId="3" fillId="0" borderId="1" xfId="0" applyNumberFormat="1" applyFont="1" applyBorder="1" applyAlignment="1">
      <alignment wrapText="1"/>
    </xf>
    <xf numFmtId="165" fontId="3" fillId="0" borderId="1" xfId="0" applyNumberFormat="1" applyFont="1" applyBorder="1" applyAlignment="1">
      <alignment horizontal="center" wrapText="1"/>
    </xf>
    <xf numFmtId="10" fontId="0" fillId="0" borderId="0" xfId="0" applyNumberFormat="1"/>
    <xf numFmtId="165" fontId="3" fillId="6" borderId="1" xfId="0" applyNumberFormat="1" applyFont="1" applyFill="1" applyBorder="1" applyAlignment="1">
      <alignment horizontal="center" wrapText="1"/>
    </xf>
    <xf numFmtId="0" fontId="12" fillId="0" borderId="0" xfId="0" applyFont="1" applyAlignment="1">
      <alignment wrapText="1"/>
    </xf>
    <xf numFmtId="0" fontId="0" fillId="7" borderId="0" xfId="0" applyFill="1" applyAlignment="1">
      <alignment wrapText="1"/>
    </xf>
    <xf numFmtId="0" fontId="0" fillId="8" borderId="0" xfId="0" applyFill="1" applyAlignment="1">
      <alignment wrapText="1"/>
    </xf>
    <xf numFmtId="14" fontId="0" fillId="8" borderId="0" xfId="0" applyNumberFormat="1" applyFill="1" applyAlignment="1">
      <alignment wrapText="1"/>
    </xf>
    <xf numFmtId="0" fontId="0" fillId="9" borderId="0" xfId="0" applyFill="1" applyAlignment="1">
      <alignment wrapText="1"/>
    </xf>
    <xf numFmtId="14" fontId="0" fillId="9" borderId="0" xfId="0" applyNumberFormat="1" applyFill="1" applyAlignment="1">
      <alignment wrapText="1"/>
    </xf>
    <xf numFmtId="0" fontId="0" fillId="10" borderId="0" xfId="0" applyFill="1" applyAlignment="1">
      <alignment wrapText="1"/>
    </xf>
    <xf numFmtId="0" fontId="0" fillId="11" borderId="0" xfId="0" applyFill="1" applyAlignment="1">
      <alignment wrapText="1"/>
    </xf>
    <xf numFmtId="14" fontId="0" fillId="11" borderId="0" xfId="0" applyNumberFormat="1" applyFill="1" applyAlignment="1">
      <alignment wrapText="1"/>
    </xf>
    <xf numFmtId="9" fontId="0" fillId="7" borderId="0" xfId="0" applyNumberFormat="1" applyFill="1" applyAlignment="1">
      <alignment wrapText="1"/>
    </xf>
    <xf numFmtId="9" fontId="0" fillId="8" borderId="0" xfId="0" applyNumberFormat="1" applyFill="1" applyAlignment="1">
      <alignment wrapText="1"/>
    </xf>
    <xf numFmtId="9" fontId="0" fillId="9" borderId="0" xfId="0" applyNumberFormat="1" applyFill="1" applyAlignment="1">
      <alignment wrapText="1"/>
    </xf>
    <xf numFmtId="9" fontId="0" fillId="10" borderId="0" xfId="0" applyNumberFormat="1" applyFill="1" applyAlignment="1">
      <alignment wrapText="1"/>
    </xf>
    <xf numFmtId="9" fontId="0" fillId="11" borderId="0" xfId="0" applyNumberFormat="1" applyFill="1" applyAlignment="1">
      <alignment wrapText="1"/>
    </xf>
    <xf numFmtId="0" fontId="12" fillId="7" borderId="0" xfId="0" applyFont="1" applyFill="1" applyAlignment="1">
      <alignment wrapText="1"/>
    </xf>
    <xf numFmtId="0" fontId="12" fillId="8" borderId="0" xfId="0" applyFont="1" applyFill="1" applyAlignment="1">
      <alignment wrapText="1"/>
    </xf>
    <xf numFmtId="0" fontId="0" fillId="12" borderId="0" xfId="0" applyFill="1" applyAlignment="1">
      <alignment wrapText="1"/>
    </xf>
    <xf numFmtId="9" fontId="0" fillId="12" borderId="0" xfId="0" applyNumberFormat="1" applyFill="1" applyAlignment="1">
      <alignment wrapText="1"/>
    </xf>
    <xf numFmtId="0" fontId="1" fillId="2" borderId="0" xfId="0" applyFont="1" applyFill="1" applyAlignment="1">
      <alignment horizontal="center"/>
    </xf>
    <xf numFmtId="0" fontId="0" fillId="0" borderId="0" xfId="0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AFCB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GB"/>
              <a:t>Revenue, Profit and Cash Flow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Dashboard!$A$3</c:f>
              <c:strCache>
                <c:ptCount val="1"/>
                <c:pt idx="0">
                  <c:v>Metric</c:v>
                </c:pt>
              </c:strCache>
            </c:strRef>
          </c:tx>
          <c:val>
            <c:numRef>
              <c:f>Dashboard!$B$3:$F$3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60-F646-915A-574BFD1D1818}"/>
            </c:ext>
          </c:extLst>
        </c:ser>
        <c:ser>
          <c:idx val="1"/>
          <c:order val="1"/>
          <c:tx>
            <c:strRef>
              <c:f>Dashboard!$A$4</c:f>
              <c:strCache>
                <c:ptCount val="1"/>
                <c:pt idx="0">
                  <c:v>Revenue</c:v>
                </c:pt>
              </c:strCache>
            </c:strRef>
          </c:tx>
          <c:val>
            <c:numRef>
              <c:f>Dashboard!$B$4:$F$4</c:f>
              <c:numCache>
                <c:formatCode>\$#,##0.0;[Red]\(\$#,##0.0\);\-</c:formatCode>
                <c:ptCount val="5"/>
                <c:pt idx="0">
                  <c:v>16292.1</c:v>
                </c:pt>
                <c:pt idx="1">
                  <c:v>17810.599999999999</c:v>
                </c:pt>
                <c:pt idx="2">
                  <c:v>16656.5</c:v>
                </c:pt>
                <c:pt idx="3">
                  <c:v>16357.8</c:v>
                </c:pt>
                <c:pt idx="4">
                  <c:v>16315.5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60-F646-915A-574BFD1D1818}"/>
            </c:ext>
          </c:extLst>
        </c:ser>
        <c:ser>
          <c:idx val="2"/>
          <c:order val="2"/>
          <c:tx>
            <c:strRef>
              <c:f>Dashboard!$A$5</c:f>
              <c:strCache>
                <c:ptCount val="1"/>
                <c:pt idx="0">
                  <c:v>Net Income</c:v>
                </c:pt>
              </c:strCache>
            </c:strRef>
          </c:tx>
          <c:val>
            <c:numRef>
              <c:f>Dashboard!$B$5:$F$5</c:f>
              <c:numCache>
                <c:formatCode>\$#,##0.0;[Red]\(\$#,##0.0\);\-</c:formatCode>
                <c:ptCount val="5"/>
                <c:pt idx="0">
                  <c:v>1260.7</c:v>
                </c:pt>
                <c:pt idx="1">
                  <c:v>1182.8</c:v>
                </c:pt>
                <c:pt idx="2">
                  <c:v>339.1</c:v>
                </c:pt>
                <c:pt idx="3">
                  <c:v>971.9</c:v>
                </c:pt>
                <c:pt idx="4">
                  <c:v>609.70000000000005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D60-F646-915A-574BFD1D1818}"/>
            </c:ext>
          </c:extLst>
        </c:ser>
        <c:ser>
          <c:idx val="3"/>
          <c:order val="3"/>
          <c:tx>
            <c:strRef>
              <c:f>Dashboard!$A$6</c:f>
              <c:strCache>
                <c:ptCount val="1"/>
                <c:pt idx="0">
                  <c:v>Cash From Operating Activities</c:v>
                </c:pt>
              </c:strCache>
            </c:strRef>
          </c:tx>
          <c:val>
            <c:numRef>
              <c:f>Dashboard!$B$6:$F$6</c:f>
              <c:numCache>
                <c:formatCode>\$#,##0.0;[Red]\(\$#,##0.0\);\-</c:formatCode>
                <c:ptCount val="5"/>
                <c:pt idx="0">
                  <c:v>2442.8000000000002</c:v>
                </c:pt>
                <c:pt idx="1">
                  <c:v>566</c:v>
                </c:pt>
                <c:pt idx="2">
                  <c:v>1353.7</c:v>
                </c:pt>
                <c:pt idx="3">
                  <c:v>2063.8000000000002</c:v>
                </c:pt>
                <c:pt idx="4">
                  <c:v>952.1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D60-F646-915A-574BFD1D18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GB"/>
              <a:t>Key Ratios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Dashboard!$A$9</c:f>
              <c:strCache>
                <c:ptCount val="1"/>
                <c:pt idx="0">
                  <c:v>Gross Margin</c:v>
                </c:pt>
              </c:strCache>
            </c:strRef>
          </c:tx>
          <c:val>
            <c:numRef>
              <c:f>Dashboard!$B$9:$F$9</c:f>
              <c:numCache>
                <c:formatCode>0.0%;[Red]\(0.0%\);\-</c:formatCode>
                <c:ptCount val="5"/>
                <c:pt idx="0">
                  <c:v>0.3115988730734528</c:v>
                </c:pt>
                <c:pt idx="1">
                  <c:v>0.34237476558903124</c:v>
                </c:pt>
                <c:pt idx="2">
                  <c:v>0.34242487917629755</c:v>
                </c:pt>
                <c:pt idx="3">
                  <c:v>0.34348751054542787</c:v>
                </c:pt>
                <c:pt idx="4">
                  <c:v>0.34416965462290461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BF-604A-99F6-3B5BA092D922}"/>
            </c:ext>
          </c:extLst>
        </c:ser>
        <c:ser>
          <c:idx val="1"/>
          <c:order val="1"/>
          <c:tx>
            <c:strRef>
              <c:f>Dashboard!$A$10</c:f>
              <c:strCache>
                <c:ptCount val="1"/>
                <c:pt idx="0">
                  <c:v>Net Margin</c:v>
                </c:pt>
              </c:strCache>
            </c:strRef>
          </c:tx>
          <c:val>
            <c:numRef>
              <c:f>Dashboard!$B$10:$F$10</c:f>
              <c:numCache>
                <c:formatCode>0.0%;[Red]\(0.0%\);\-</c:formatCode>
                <c:ptCount val="5"/>
                <c:pt idx="0">
                  <c:v>7.7381061987098043E-2</c:v>
                </c:pt>
                <c:pt idx="1">
                  <c:v>6.640989073922271E-2</c:v>
                </c:pt>
                <c:pt idx="2">
                  <c:v>2.0358418635367574E-2</c:v>
                </c:pt>
                <c:pt idx="3">
                  <c:v>5.9415080267517635E-2</c:v>
                </c:pt>
                <c:pt idx="4">
                  <c:v>3.7369372682418564E-2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6BF-604A-99F6-3B5BA092D922}"/>
            </c:ext>
          </c:extLst>
        </c:ser>
        <c:ser>
          <c:idx val="2"/>
          <c:order val="2"/>
          <c:tx>
            <c:strRef>
              <c:f>Dashboard!$A$11</c:f>
              <c:strCache>
                <c:ptCount val="1"/>
                <c:pt idx="0">
                  <c:v>Current Ratio</c:v>
                </c:pt>
              </c:strCache>
            </c:strRef>
          </c:tx>
          <c:val>
            <c:numRef>
              <c:f>Dashboard!$B$11:$F$11</c:f>
              <c:numCache>
                <c:formatCode>0.00\x</c:formatCode>
                <c:ptCount val="5"/>
                <c:pt idx="0">
                  <c:v>2.0259710323101152</c:v>
                </c:pt>
                <c:pt idx="1">
                  <c:v>1.6133202742409403</c:v>
                </c:pt>
                <c:pt idx="2">
                  <c:v>1.7675849115667555</c:v>
                </c:pt>
                <c:pt idx="3">
                  <c:v>1.7911891908956026</c:v>
                </c:pt>
                <c:pt idx="4">
                  <c:v>1.8262406197046719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6BF-604A-99F6-3B5BA092D922}"/>
            </c:ext>
          </c:extLst>
        </c:ser>
        <c:ser>
          <c:idx val="3"/>
          <c:order val="3"/>
          <c:tx>
            <c:strRef>
              <c:f>Dashboard!$A$12</c:f>
              <c:strCache>
                <c:ptCount val="1"/>
                <c:pt idx="0">
                  <c:v>Debt Ratio</c:v>
                </c:pt>
              </c:strCache>
            </c:strRef>
          </c:tx>
          <c:val>
            <c:numRef>
              <c:f>Dashboard!$B$12:$F$12</c:f>
              <c:numCache>
                <c:formatCode>0.00\x</c:formatCode>
                <c:ptCount val="5"/>
                <c:pt idx="0">
                  <c:v>0.71366386777313751</c:v>
                </c:pt>
                <c:pt idx="1">
                  <c:v>0.68151730815345013</c:v>
                </c:pt>
                <c:pt idx="2">
                  <c:v>0.70676530941883586</c:v>
                </c:pt>
                <c:pt idx="3">
                  <c:v>0.68129007310953837</c:v>
                </c:pt>
                <c:pt idx="4">
                  <c:v>0.68366001541332788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6BF-604A-99F6-3B5BA092D9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%;[Red]\(0.0%\);\-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'Canadian Tire Net Income', 'Empire Net Income' by 'Year'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Charts!A2</c:f>
              <c:strCache>
                <c:ptCount val="1"/>
                <c:pt idx="0">
                  <c:v>Canadian Tire Net Income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Charts!$B$1:$G$1</c:f>
              <c:numCache>
                <c:formatCode>General</c:formatCod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</c:numCache>
            </c:numRef>
          </c:cat>
          <c:val>
            <c:numRef>
              <c:f>Charts!$B$2:$G$2</c:f>
              <c:numCache>
                <c:formatCode>_-[$$-1009]* #,##0.0_-;\-[$$-1009]* #,##0.0_-;_-[$$-1009]* "-"?_-;_-@_-</c:formatCode>
                <c:ptCount val="6"/>
                <c:pt idx="0">
                  <c:v>1260.7</c:v>
                </c:pt>
                <c:pt idx="1">
                  <c:v>1182.8</c:v>
                </c:pt>
                <c:pt idx="2">
                  <c:v>339.1</c:v>
                </c:pt>
                <c:pt idx="3">
                  <c:v>971.9</c:v>
                </c:pt>
                <c:pt idx="4">
                  <c:v>609.70000000000005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AAEE4905-E561-4797-9392-C10328B752E1}"/>
            </c:ext>
          </c:extLst>
        </c:ser>
        <c:ser>
          <c:idx val="1"/>
          <c:order val="1"/>
          <c:tx>
            <c:strRef>
              <c:f>Charts!A3</c:f>
              <c:strCache>
                <c:ptCount val="1"/>
                <c:pt idx="0">
                  <c:v>Empire Net Income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Charts!$B$1:$G$1</c:f>
              <c:numCache>
                <c:formatCode>General</c:formatCod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</c:numCache>
            </c:numRef>
          </c:cat>
          <c:val>
            <c:numRef>
              <c:f>Charts!$B$3:$G$3</c:f>
              <c:numCache>
                <c:formatCode>_-[$$-1009]* #,##0.0_-;\-[$$-1009]* #,##0.0_-;_-[$$-1009]* "-"?_-;_-@_-</c:formatCode>
                <c:ptCount val="6"/>
                <c:pt idx="0">
                  <c:v>701.5</c:v>
                </c:pt>
                <c:pt idx="1">
                  <c:v>745.8</c:v>
                </c:pt>
                <c:pt idx="2">
                  <c:v>686</c:v>
                </c:pt>
                <c:pt idx="3">
                  <c:v>726</c:v>
                </c:pt>
                <c:pt idx="4">
                  <c:v>700</c:v>
                </c:pt>
                <c:pt idx="5">
                  <c:v>198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BABC9F49-D0E8-4866-94A3-23184DD5A6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9664647"/>
        <c:axId val="599961607"/>
      </c:lineChart>
      <c:catAx>
        <c:axId val="5996646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Field1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9961607"/>
        <c:crosses val="autoZero"/>
        <c:auto val="1"/>
        <c:lblAlgn val="ctr"/>
        <c:lblOffset val="100"/>
        <c:noMultiLvlLbl val="0"/>
      </c:catAx>
      <c:valAx>
        <c:axId val="599961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1009]* #,##0.0_-;\-[$$-1009]* #,##0.0_-;_-[$$-1009]* &quot;-&quot;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96646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'Canadian Tire Net Income Ratio', 'Empire Net Income Ratio' by 'Year'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Charts!$A$4</c:f>
              <c:strCache>
                <c:ptCount val="1"/>
                <c:pt idx="0">
                  <c:v> Canadian Tire Net Margin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Charts!$B$4:$G$4</c:f>
              <c:numCache>
                <c:formatCode>0.0%;[Red]\(0.0%\);\-</c:formatCode>
                <c:ptCount val="6"/>
                <c:pt idx="0">
                  <c:v>7.7381061987098043E-2</c:v>
                </c:pt>
                <c:pt idx="1">
                  <c:v>6.640989073922271E-2</c:v>
                </c:pt>
                <c:pt idx="2">
                  <c:v>2.0358418635367574E-2</c:v>
                </c:pt>
                <c:pt idx="3">
                  <c:v>5.9415080267517635E-2</c:v>
                </c:pt>
                <c:pt idx="4">
                  <c:v>3.7369372682418564E-2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11-4466-8D61-26B93AD03D2F}"/>
            </c:ext>
          </c:extLst>
        </c:ser>
        <c:ser>
          <c:idx val="1"/>
          <c:order val="1"/>
          <c:tx>
            <c:strRef>
              <c:f>Charts!$A$5</c:f>
              <c:strCache>
                <c:ptCount val="1"/>
                <c:pt idx="0">
                  <c:v>Empire Net Margin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Charts!$B$5:$G$5</c:f>
              <c:numCache>
                <c:formatCode>0.0%;[Red]\(0.0%\);\-</c:formatCode>
                <c:ptCount val="6"/>
                <c:pt idx="0">
                  <c:v>2.4756842981973198E-2</c:v>
                </c:pt>
                <c:pt idx="1">
                  <c:v>2.4636465139633062E-2</c:v>
                </c:pt>
                <c:pt idx="2">
                  <c:v>2.2431568999964031E-2</c:v>
                </c:pt>
                <c:pt idx="3">
                  <c:v>2.3571428571428573E-2</c:v>
                </c:pt>
                <c:pt idx="4">
                  <c:v>2.2321428571428572E-2</c:v>
                </c:pt>
                <c:pt idx="5">
                  <c:v>6.1818976552499294E-3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D11-4466-8D61-26B93AD03D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917895"/>
        <c:axId val="50919943"/>
      </c:lineChart>
      <c:catAx>
        <c:axId val="509178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919943"/>
        <c:crosses val="autoZero"/>
        <c:auto val="1"/>
        <c:lblAlgn val="ctr"/>
        <c:lblOffset val="100"/>
        <c:noMultiLvlLbl val="0"/>
      </c:catAx>
      <c:valAx>
        <c:axId val="50919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;[Red]\(0.0%\);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917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914400</xdr:colOff>
      <xdr:row>19</xdr:row>
      <xdr:rowOff>12700</xdr:rowOff>
    </xdr:from>
    <xdr:to>
      <xdr:col>16</xdr:col>
      <xdr:colOff>609600</xdr:colOff>
      <xdr:row>48</xdr:row>
      <xdr:rowOff>127000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35D764B-F1E0-05ED-6262-FCA4E7C70F04}"/>
            </a:ext>
          </a:extLst>
        </xdr:cNvPr>
        <xdr:cNvSpPr txBox="1"/>
      </xdr:nvSpPr>
      <xdr:spPr>
        <a:xfrm>
          <a:off x="914400" y="4635500"/>
          <a:ext cx="14439900" cy="60071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600"/>
            <a:t>Revenue has been pretty flat since 2022. Looks like a mature business now. More about holding position than growing fast.</a:t>
          </a:r>
        </a:p>
        <a:p>
          <a:endParaRPr lang="en-GB" sz="1600"/>
        </a:p>
        <a:p>
          <a:r>
            <a:rPr lang="en-GB" sz="1600"/>
            <a:t>Gross margins are very steady, around 31–34%. So pricing and product costs seem well controlled.</a:t>
          </a:r>
        </a:p>
        <a:p>
          <a:endParaRPr lang="en-GB" sz="1600"/>
        </a:p>
        <a:p>
          <a:r>
            <a:rPr lang="en-GB" sz="1600"/>
            <a:t>Profit takes a big hit in 2023, but recovers in 2024 and stays positive in 2025. So the business looks resilient, even with tougher conditions.</a:t>
          </a:r>
        </a:p>
        <a:p>
          <a:endParaRPr lang="en-GB" sz="1600"/>
        </a:p>
        <a:p>
          <a:r>
            <a:rPr lang="en-GB" sz="1600"/>
            <a:t>Debt is still fairly high. Debt ratios sit around 68–71%. Definitely worth comparing against competitors.</a:t>
          </a:r>
        </a:p>
        <a:p>
          <a:endParaRPr lang="en-GB" sz="1600"/>
        </a:p>
        <a:p>
          <a:r>
            <a:rPr lang="en-GB" sz="1600"/>
            <a:t>Operating cash flow is generally strong. Free cash flow is positive in most years. So even when earnings move around, the business is still generating cash.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1727200</xdr:colOff>
      <xdr:row>19</xdr:row>
      <xdr:rowOff>152400</xdr:rowOff>
    </xdr:from>
    <xdr:to>
      <xdr:col>18</xdr:col>
      <xdr:colOff>165100</xdr:colOff>
      <xdr:row>49</xdr:row>
      <xdr:rowOff>12700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0E79AE4-9250-1749-A6CF-1EA44113EE95}"/>
            </a:ext>
          </a:extLst>
        </xdr:cNvPr>
        <xdr:cNvSpPr txBox="1"/>
      </xdr:nvSpPr>
      <xdr:spPr>
        <a:xfrm>
          <a:off x="1727200" y="4978400"/>
          <a:ext cx="14439900" cy="60071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600"/>
            <a:t>Big jump in revenue in 2022, then basically flat / slightly down since. So not much organic growth over the last few years.</a:t>
          </a:r>
        </a:p>
        <a:p>
          <a:endParaRPr lang="en-GB" sz="1600"/>
        </a:p>
        <a:p>
          <a:r>
            <a:rPr lang="en-GB" sz="1600"/>
            <a:t>2023 is the weird year. Operating income and net income both drop hard. But 2024 bounces back, so it looks more like a one-off hit than the business falling apart.</a:t>
          </a:r>
        </a:p>
        <a:p>
          <a:endParaRPr lang="en-GB" sz="1600"/>
        </a:p>
        <a:p>
          <a:r>
            <a:rPr lang="en-GB" sz="1600"/>
            <a:t>Assets, PPE, and inventory all keep moving up from 2021 to 2025. So they’re still investing, even though revenue growth has slowed.</a:t>
          </a:r>
        </a:p>
        <a:p>
          <a:endParaRPr lang="en-GB" sz="1600"/>
        </a:p>
        <a:p>
          <a:r>
            <a:rPr lang="en-GB" sz="1600"/>
            <a:t>Liabilities are pretty steady. Equity is up overall. So the balance sheet looks a bit stronger by the end.</a:t>
          </a:r>
        </a:p>
        <a:p>
          <a:endParaRPr lang="en-GB" sz="1600"/>
        </a:p>
        <a:p>
          <a:r>
            <a:rPr lang="en-GB" sz="1600"/>
            <a:t>Operating cash flow is messy. Very weak in 2022, then much stronger in 2023 and 2024. Worth digging into when comparing Canadian Tire with the competitor.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501650</xdr:colOff>
      <xdr:row>10</xdr:row>
      <xdr:rowOff>9525</xdr:rowOff>
    </xdr:from>
    <xdr:to>
      <xdr:col>15</xdr:col>
      <xdr:colOff>666750</xdr:colOff>
      <xdr:row>43</xdr:row>
      <xdr:rowOff>142875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2E1D57C-D994-8542-9B8C-D7992682B484}"/>
            </a:ext>
          </a:extLst>
        </xdr:cNvPr>
        <xdr:cNvSpPr txBox="1"/>
      </xdr:nvSpPr>
      <xdr:spPr>
        <a:xfrm>
          <a:off x="501650" y="2409825"/>
          <a:ext cx="14481175" cy="5791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600"/>
            <a:t>Gross margin is really steady, around 31–34% across the five years. So Canadian Tire seems to be managing pricing and product costs pretty well.</a:t>
          </a:r>
        </a:p>
        <a:p>
          <a:endParaRPr lang="en-GB" sz="1600"/>
        </a:p>
        <a:p>
          <a:r>
            <a:rPr lang="en-GB" sz="1600"/>
            <a:t>Operating income is the main thing. Operating margin drops to 5.5% in 2023, then jumps back above 10% in 2024 and 2025. Something clearly hit profitability in 2023.</a:t>
          </a:r>
        </a:p>
        <a:p>
          <a:endParaRPr lang="en-GB" sz="1600"/>
        </a:p>
        <a:p>
          <a:r>
            <a:rPr lang="en-GB" sz="1600"/>
            <a:t>Interest costs are fairly low, around 1–2% of revenue. So even with a lot of debt, financing costs don’t seem to be crushing earnings.</a:t>
          </a:r>
        </a:p>
        <a:p>
          <a:endParaRPr lang="en-GB" sz="1600"/>
        </a:p>
        <a:p>
          <a:r>
            <a:rPr lang="en-GB" sz="1600"/>
            <a:t>Net margin falls from 7.7% in 2021 to 2.0% in 2023, then recovers. Same pattern as the ratio and trend analysis.</a:t>
          </a:r>
        </a:p>
        <a:p>
          <a:endParaRPr lang="en-GB" sz="1600"/>
        </a:p>
        <a:p>
          <a:r>
            <a:rPr lang="en-GB" sz="1600"/>
            <a:t>Overall, the cost structure looks pretty stable. The profit swings seem to come more from operating expenses than product margins. Worth comparing this against competitors.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390525</xdr:colOff>
      <xdr:row>9</xdr:row>
      <xdr:rowOff>114300</xdr:rowOff>
    </xdr:from>
    <xdr:to>
      <xdr:col>16</xdr:col>
      <xdr:colOff>57150</xdr:colOff>
      <xdr:row>43</xdr:row>
      <xdr:rowOff>82550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3C30A6D-2351-9747-93B5-DA08B6F6CEF0}"/>
            </a:ext>
          </a:extLst>
        </xdr:cNvPr>
        <xdr:cNvSpPr txBox="1"/>
      </xdr:nvSpPr>
      <xdr:spPr>
        <a:xfrm>
          <a:off x="390525" y="2266950"/>
          <a:ext cx="14506575" cy="5797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600"/>
            <a:t>PPE keeps growing, from about $4.3B in 2021 to $5.5B in 2025. They’re still putting money into stores, equipment, and infrastructure even though revenue hasn’t really grown.</a:t>
          </a:r>
        </a:p>
        <a:p>
          <a:endParaRPr lang="en-GB" sz="1600"/>
        </a:p>
        <a:p>
          <a:r>
            <a:rPr lang="en-GB" sz="1600"/>
            <a:t>PPE as a share of total assets goes from 21% to 26%. So a bigger chunk of the business is tied up in physical assets than it was a few years ago.</a:t>
          </a:r>
        </a:p>
        <a:p>
          <a:endParaRPr lang="en-GB" sz="1600"/>
        </a:p>
        <a:p>
          <a:r>
            <a:rPr lang="en-GB" sz="1600"/>
            <a:t>Accumulated depreciation stays right around 45% of gross PPE the whole time. That suggests they’re replacing and upgrading assets regularly, not just letting them get older.</a:t>
          </a:r>
        </a:p>
        <a:p>
          <a:endParaRPr lang="en-GB" sz="1600"/>
        </a:p>
        <a:p>
          <a:r>
            <a:rPr lang="en-GB" sz="1600"/>
            <a:t>CapEx stays fairly consistent, mostly in the 3–5% of revenue range. Investment levels look pretty healthy year after year.</a:t>
          </a:r>
        </a:p>
        <a:p>
          <a:endParaRPr lang="en-GB" sz="1600"/>
        </a:p>
        <a:p>
          <a:r>
            <a:rPr lang="en-GB" sz="1600"/>
            <a:t>Nothing here suggests underinvestment. Growing PPE, steady depreciation ratios, and ongoing capital spending all point to the asset base being maintained and expanded over time.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23</xdr:col>
      <xdr:colOff>342900</xdr:colOff>
      <xdr:row>31</xdr:row>
      <xdr:rowOff>12700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1003300</xdr:colOff>
      <xdr:row>35</xdr:row>
      <xdr:rowOff>127000</xdr:rowOff>
    </xdr:from>
    <xdr:to>
      <xdr:col>17</xdr:col>
      <xdr:colOff>431800</xdr:colOff>
      <xdr:row>77</xdr:row>
      <xdr:rowOff>152400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500-000003000000}"/>
            </a:ext>
            <a:ext uri="{147F2762-F138-4A5C-976F-8EAC2B608ADB}">
              <a16:predDERef xmlns:a16="http://schemas.microsoft.com/office/drawing/2014/main" pre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292100</xdr:colOff>
      <xdr:row>34</xdr:row>
      <xdr:rowOff>101600</xdr:rowOff>
    </xdr:from>
    <xdr:to>
      <xdr:col>39</xdr:col>
      <xdr:colOff>596900</xdr:colOff>
      <xdr:row>68</xdr:row>
      <xdr:rowOff>63500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8804947-FB5C-0547-A258-0D89417B3146}"/>
            </a:ext>
          </a:extLst>
        </xdr:cNvPr>
        <xdr:cNvSpPr txBox="1"/>
      </xdr:nvSpPr>
      <xdr:spPr>
        <a:xfrm>
          <a:off x="16141700" y="7010400"/>
          <a:ext cx="14439900" cy="60071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600"/>
            <a:t>Canadian Tire looks more like a mature business than a growth business. Sales haven’t really moved much since 2022.</a:t>
          </a:r>
        </a:p>
        <a:p>
          <a:endParaRPr lang="en-GB" sz="1600"/>
        </a:p>
        <a:p>
          <a:r>
            <a:rPr lang="en-GB" sz="1600"/>
            <a:t>The ratios chart is useful because it shows what’s stable and what isn’t. Gross margin and debt ratio are steady. Net margin moves around a lot. Good comparison point for competitors.</a:t>
          </a:r>
        </a:p>
        <a:p>
          <a:endParaRPr lang="en-GB" sz="1600"/>
        </a:p>
        <a:p>
          <a:r>
            <a:rPr lang="en-GB" sz="1600"/>
            <a:t>2023 is clearly the problem year. Profitability drops hard, then recovers in 2024. We should explain what happened there in the report.</a:t>
          </a:r>
        </a:p>
        <a:p>
          <a:endParaRPr lang="en-GB" sz="1600"/>
        </a:p>
        <a:p>
          <a:r>
            <a:rPr lang="en-GB" sz="1600"/>
            <a:t>For the final report, the dashboard supports a pretty simple argument: Canadian Tire is stable and cash-generative, but not a high-growth business.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409575</xdr:colOff>
      <xdr:row>0</xdr:row>
      <xdr:rowOff>47625</xdr:rowOff>
    </xdr:from>
    <xdr:to>
      <xdr:col>14</xdr:col>
      <xdr:colOff>180975</xdr:colOff>
      <xdr:row>15</xdr:row>
      <xdr:rowOff>38100</xdr:rowOff>
    </xdr:to>
    <xdr:graphicFrame macro="">
      <xdr:nvGraphicFramePr>
        <xdr:cNvPr id="2" name="Chart 1" descr="Chart type: Line. 'Canadian Tire Net Income', 'Empire Net Income' by 'Field1'&#10;&#10;Description automatically generated">
          <a:extLst>
            <a:ext uri="{FF2B5EF4-FFF2-40B4-BE49-F238E27FC236}">
              <a16:creationId xmlns:a16="http://schemas.microsoft.com/office/drawing/2014/main" id="{071EFBB3-E642-791C-36C4-F427F0E4B2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257175</xdr:colOff>
      <xdr:row>0</xdr:row>
      <xdr:rowOff>76200</xdr:rowOff>
    </xdr:from>
    <xdr:to>
      <xdr:col>21</xdr:col>
      <xdr:colOff>342900</xdr:colOff>
      <xdr:row>15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7DC1CA5-BE92-5F03-72E4-5E4B6D236395}"/>
            </a:ext>
            <a:ext uri="{147F2762-F138-4A5C-976F-8EAC2B608ADB}">
              <a16:predDERef xmlns:a16="http://schemas.microsoft.com/office/drawing/2014/main" pred="{071EFBB3-E642-791C-36C4-F427F0E4B2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javascript:void(0);" TargetMode="External"/><Relationship Id="rId21" Type="http://schemas.openxmlformats.org/officeDocument/2006/relationships/hyperlink" Target="javascript:void(0);" TargetMode="External"/><Relationship Id="rId42" Type="http://schemas.openxmlformats.org/officeDocument/2006/relationships/hyperlink" Target="javascript:void(0);" TargetMode="External"/><Relationship Id="rId63" Type="http://schemas.openxmlformats.org/officeDocument/2006/relationships/hyperlink" Target="javascript:void(0);" TargetMode="External"/><Relationship Id="rId84" Type="http://schemas.openxmlformats.org/officeDocument/2006/relationships/hyperlink" Target="javascript:void(0);" TargetMode="External"/><Relationship Id="rId138" Type="http://schemas.openxmlformats.org/officeDocument/2006/relationships/hyperlink" Target="javascript:void(0);" TargetMode="External"/><Relationship Id="rId159" Type="http://schemas.openxmlformats.org/officeDocument/2006/relationships/hyperlink" Target="javascript:void(0);" TargetMode="External"/><Relationship Id="rId170" Type="http://schemas.openxmlformats.org/officeDocument/2006/relationships/hyperlink" Target="javascript:void(0);" TargetMode="External"/><Relationship Id="rId191" Type="http://schemas.openxmlformats.org/officeDocument/2006/relationships/hyperlink" Target="javascript:void(0);" TargetMode="External"/><Relationship Id="rId205" Type="http://schemas.openxmlformats.org/officeDocument/2006/relationships/hyperlink" Target="javascript:void(0);" TargetMode="External"/><Relationship Id="rId226" Type="http://schemas.openxmlformats.org/officeDocument/2006/relationships/hyperlink" Target="javascript:void(0);" TargetMode="External"/><Relationship Id="rId107" Type="http://schemas.openxmlformats.org/officeDocument/2006/relationships/hyperlink" Target="javascript:void(0);" TargetMode="External"/><Relationship Id="rId11" Type="http://schemas.openxmlformats.org/officeDocument/2006/relationships/hyperlink" Target="javascript:void(0);" TargetMode="External"/><Relationship Id="rId32" Type="http://schemas.openxmlformats.org/officeDocument/2006/relationships/hyperlink" Target="javascript:void(0);" TargetMode="External"/><Relationship Id="rId53" Type="http://schemas.openxmlformats.org/officeDocument/2006/relationships/hyperlink" Target="javascript:void(0);" TargetMode="External"/><Relationship Id="rId74" Type="http://schemas.openxmlformats.org/officeDocument/2006/relationships/hyperlink" Target="javascript:void(0);" TargetMode="External"/><Relationship Id="rId128" Type="http://schemas.openxmlformats.org/officeDocument/2006/relationships/hyperlink" Target="javascript:void(0);" TargetMode="External"/><Relationship Id="rId149" Type="http://schemas.openxmlformats.org/officeDocument/2006/relationships/hyperlink" Target="javascript:void(0);" TargetMode="External"/><Relationship Id="rId5" Type="http://schemas.openxmlformats.org/officeDocument/2006/relationships/hyperlink" Target="javascript:void(0);" TargetMode="External"/><Relationship Id="rId95" Type="http://schemas.openxmlformats.org/officeDocument/2006/relationships/hyperlink" Target="javascript:void(0);" TargetMode="External"/><Relationship Id="rId160" Type="http://schemas.openxmlformats.org/officeDocument/2006/relationships/hyperlink" Target="javascript:void(0);" TargetMode="External"/><Relationship Id="rId181" Type="http://schemas.openxmlformats.org/officeDocument/2006/relationships/hyperlink" Target="javascript:void(0);" TargetMode="External"/><Relationship Id="rId216" Type="http://schemas.openxmlformats.org/officeDocument/2006/relationships/hyperlink" Target="javascript:void(0);" TargetMode="External"/><Relationship Id="rId237" Type="http://schemas.openxmlformats.org/officeDocument/2006/relationships/hyperlink" Target="javascript:void(0);" TargetMode="External"/><Relationship Id="rId22" Type="http://schemas.openxmlformats.org/officeDocument/2006/relationships/hyperlink" Target="javascript:void(0);" TargetMode="External"/><Relationship Id="rId43" Type="http://schemas.openxmlformats.org/officeDocument/2006/relationships/hyperlink" Target="javascript:void(0);" TargetMode="External"/><Relationship Id="rId64" Type="http://schemas.openxmlformats.org/officeDocument/2006/relationships/hyperlink" Target="javascript:void(0);" TargetMode="External"/><Relationship Id="rId118" Type="http://schemas.openxmlformats.org/officeDocument/2006/relationships/hyperlink" Target="javascript:void(0);" TargetMode="External"/><Relationship Id="rId139" Type="http://schemas.openxmlformats.org/officeDocument/2006/relationships/hyperlink" Target="javascript:void(0);" TargetMode="External"/><Relationship Id="rId85" Type="http://schemas.openxmlformats.org/officeDocument/2006/relationships/hyperlink" Target="javascript:void(0);" TargetMode="External"/><Relationship Id="rId150" Type="http://schemas.openxmlformats.org/officeDocument/2006/relationships/hyperlink" Target="javascript:void(0);" TargetMode="External"/><Relationship Id="rId171" Type="http://schemas.openxmlformats.org/officeDocument/2006/relationships/hyperlink" Target="javascript:void(0);" TargetMode="External"/><Relationship Id="rId192" Type="http://schemas.openxmlformats.org/officeDocument/2006/relationships/hyperlink" Target="javascript:void(0);" TargetMode="External"/><Relationship Id="rId206" Type="http://schemas.openxmlformats.org/officeDocument/2006/relationships/hyperlink" Target="javascript:void(0);" TargetMode="External"/><Relationship Id="rId227" Type="http://schemas.openxmlformats.org/officeDocument/2006/relationships/hyperlink" Target="javascript:void(0);" TargetMode="External"/><Relationship Id="rId12" Type="http://schemas.openxmlformats.org/officeDocument/2006/relationships/hyperlink" Target="javascript:void(0);" TargetMode="External"/><Relationship Id="rId33" Type="http://schemas.openxmlformats.org/officeDocument/2006/relationships/hyperlink" Target="javascript:void(0);" TargetMode="External"/><Relationship Id="rId108" Type="http://schemas.openxmlformats.org/officeDocument/2006/relationships/hyperlink" Target="javascript:void(0);" TargetMode="External"/><Relationship Id="rId129" Type="http://schemas.openxmlformats.org/officeDocument/2006/relationships/hyperlink" Target="javascript:void(0);" TargetMode="External"/><Relationship Id="rId54" Type="http://schemas.openxmlformats.org/officeDocument/2006/relationships/hyperlink" Target="javascript:void(0);" TargetMode="External"/><Relationship Id="rId75" Type="http://schemas.openxmlformats.org/officeDocument/2006/relationships/hyperlink" Target="javascript:void(0);" TargetMode="External"/><Relationship Id="rId96" Type="http://schemas.openxmlformats.org/officeDocument/2006/relationships/hyperlink" Target="javascript:void(0);" TargetMode="External"/><Relationship Id="rId140" Type="http://schemas.openxmlformats.org/officeDocument/2006/relationships/hyperlink" Target="javascript:void(0);" TargetMode="External"/><Relationship Id="rId161" Type="http://schemas.openxmlformats.org/officeDocument/2006/relationships/hyperlink" Target="javascript:void(0);" TargetMode="External"/><Relationship Id="rId182" Type="http://schemas.openxmlformats.org/officeDocument/2006/relationships/hyperlink" Target="javascript:void(0);" TargetMode="External"/><Relationship Id="rId217" Type="http://schemas.openxmlformats.org/officeDocument/2006/relationships/hyperlink" Target="javascript:void(0);" TargetMode="External"/><Relationship Id="rId6" Type="http://schemas.openxmlformats.org/officeDocument/2006/relationships/hyperlink" Target="javascript:void(0);" TargetMode="External"/><Relationship Id="rId238" Type="http://schemas.openxmlformats.org/officeDocument/2006/relationships/hyperlink" Target="javascript:void(0);" TargetMode="External"/><Relationship Id="rId23" Type="http://schemas.openxmlformats.org/officeDocument/2006/relationships/hyperlink" Target="javascript:void(0);" TargetMode="External"/><Relationship Id="rId119" Type="http://schemas.openxmlformats.org/officeDocument/2006/relationships/hyperlink" Target="javascript:void(0);" TargetMode="External"/><Relationship Id="rId44" Type="http://schemas.openxmlformats.org/officeDocument/2006/relationships/hyperlink" Target="javascript:void(0);" TargetMode="External"/><Relationship Id="rId65" Type="http://schemas.openxmlformats.org/officeDocument/2006/relationships/hyperlink" Target="javascript:void(0);" TargetMode="External"/><Relationship Id="rId86" Type="http://schemas.openxmlformats.org/officeDocument/2006/relationships/hyperlink" Target="javascript:void(0);" TargetMode="External"/><Relationship Id="rId130" Type="http://schemas.openxmlformats.org/officeDocument/2006/relationships/hyperlink" Target="javascript:void(0);" TargetMode="External"/><Relationship Id="rId151" Type="http://schemas.openxmlformats.org/officeDocument/2006/relationships/hyperlink" Target="javascript:void(0);" TargetMode="External"/><Relationship Id="rId172" Type="http://schemas.openxmlformats.org/officeDocument/2006/relationships/hyperlink" Target="javascript:void(0);" TargetMode="External"/><Relationship Id="rId193" Type="http://schemas.openxmlformats.org/officeDocument/2006/relationships/hyperlink" Target="javascript:void(0);" TargetMode="External"/><Relationship Id="rId207" Type="http://schemas.openxmlformats.org/officeDocument/2006/relationships/hyperlink" Target="javascript:void(0);" TargetMode="External"/><Relationship Id="rId228" Type="http://schemas.openxmlformats.org/officeDocument/2006/relationships/hyperlink" Target="javascript:void(0);" TargetMode="External"/><Relationship Id="rId13" Type="http://schemas.openxmlformats.org/officeDocument/2006/relationships/hyperlink" Target="javascript:void(0);" TargetMode="External"/><Relationship Id="rId109" Type="http://schemas.openxmlformats.org/officeDocument/2006/relationships/hyperlink" Target="javascript:void(0);" TargetMode="External"/><Relationship Id="rId34" Type="http://schemas.openxmlformats.org/officeDocument/2006/relationships/hyperlink" Target="javascript:void(0);" TargetMode="External"/><Relationship Id="rId55" Type="http://schemas.openxmlformats.org/officeDocument/2006/relationships/hyperlink" Target="javascript:void(0);" TargetMode="External"/><Relationship Id="rId76" Type="http://schemas.openxmlformats.org/officeDocument/2006/relationships/hyperlink" Target="javascript:void(0);" TargetMode="External"/><Relationship Id="rId97" Type="http://schemas.openxmlformats.org/officeDocument/2006/relationships/hyperlink" Target="javascript:void(0);" TargetMode="External"/><Relationship Id="rId120" Type="http://schemas.openxmlformats.org/officeDocument/2006/relationships/hyperlink" Target="javascript:void(0);" TargetMode="External"/><Relationship Id="rId141" Type="http://schemas.openxmlformats.org/officeDocument/2006/relationships/hyperlink" Target="javascript:void(0);" TargetMode="External"/><Relationship Id="rId7" Type="http://schemas.openxmlformats.org/officeDocument/2006/relationships/hyperlink" Target="javascript:void(0);" TargetMode="External"/><Relationship Id="rId162" Type="http://schemas.openxmlformats.org/officeDocument/2006/relationships/hyperlink" Target="javascript:void(0);" TargetMode="External"/><Relationship Id="rId183" Type="http://schemas.openxmlformats.org/officeDocument/2006/relationships/hyperlink" Target="javascript:void(0);" TargetMode="External"/><Relationship Id="rId218" Type="http://schemas.openxmlformats.org/officeDocument/2006/relationships/hyperlink" Target="javascript:void(0);" TargetMode="External"/><Relationship Id="rId239" Type="http://schemas.openxmlformats.org/officeDocument/2006/relationships/hyperlink" Target="javascript:void(0);" TargetMode="External"/><Relationship Id="rId24" Type="http://schemas.openxmlformats.org/officeDocument/2006/relationships/hyperlink" Target="javascript:void(0);" TargetMode="External"/><Relationship Id="rId45" Type="http://schemas.openxmlformats.org/officeDocument/2006/relationships/hyperlink" Target="javascript:void(0);" TargetMode="External"/><Relationship Id="rId66" Type="http://schemas.openxmlformats.org/officeDocument/2006/relationships/hyperlink" Target="javascript:void(0);" TargetMode="External"/><Relationship Id="rId87" Type="http://schemas.openxmlformats.org/officeDocument/2006/relationships/hyperlink" Target="javascript:void(0);" TargetMode="External"/><Relationship Id="rId110" Type="http://schemas.openxmlformats.org/officeDocument/2006/relationships/hyperlink" Target="javascript:void(0);" TargetMode="External"/><Relationship Id="rId131" Type="http://schemas.openxmlformats.org/officeDocument/2006/relationships/hyperlink" Target="javascript:void(0);" TargetMode="External"/><Relationship Id="rId152" Type="http://schemas.openxmlformats.org/officeDocument/2006/relationships/hyperlink" Target="javascript:void(0);" TargetMode="External"/><Relationship Id="rId173" Type="http://schemas.openxmlformats.org/officeDocument/2006/relationships/hyperlink" Target="javascript:void(0);" TargetMode="External"/><Relationship Id="rId194" Type="http://schemas.openxmlformats.org/officeDocument/2006/relationships/hyperlink" Target="javascript:void(0);" TargetMode="External"/><Relationship Id="rId208" Type="http://schemas.openxmlformats.org/officeDocument/2006/relationships/hyperlink" Target="javascript:void(0);" TargetMode="External"/><Relationship Id="rId229" Type="http://schemas.openxmlformats.org/officeDocument/2006/relationships/hyperlink" Target="javascript:void(0);" TargetMode="External"/><Relationship Id="rId240" Type="http://schemas.openxmlformats.org/officeDocument/2006/relationships/hyperlink" Target="javascript:void(0);" TargetMode="External"/><Relationship Id="rId14" Type="http://schemas.openxmlformats.org/officeDocument/2006/relationships/hyperlink" Target="javascript:void(0);" TargetMode="External"/><Relationship Id="rId35" Type="http://schemas.openxmlformats.org/officeDocument/2006/relationships/hyperlink" Target="javascript:void(0);" TargetMode="External"/><Relationship Id="rId56" Type="http://schemas.openxmlformats.org/officeDocument/2006/relationships/hyperlink" Target="javascript:void(0);" TargetMode="External"/><Relationship Id="rId77" Type="http://schemas.openxmlformats.org/officeDocument/2006/relationships/hyperlink" Target="javascript:void(0);" TargetMode="External"/><Relationship Id="rId100" Type="http://schemas.openxmlformats.org/officeDocument/2006/relationships/hyperlink" Target="javascript:void(0);" TargetMode="External"/><Relationship Id="rId8" Type="http://schemas.openxmlformats.org/officeDocument/2006/relationships/hyperlink" Target="javascript:void(0);" TargetMode="External"/><Relationship Id="rId98" Type="http://schemas.openxmlformats.org/officeDocument/2006/relationships/hyperlink" Target="javascript:void(0);" TargetMode="External"/><Relationship Id="rId121" Type="http://schemas.openxmlformats.org/officeDocument/2006/relationships/hyperlink" Target="javascript:void(0);" TargetMode="External"/><Relationship Id="rId142" Type="http://schemas.openxmlformats.org/officeDocument/2006/relationships/hyperlink" Target="javascript:void(0);" TargetMode="External"/><Relationship Id="rId163" Type="http://schemas.openxmlformats.org/officeDocument/2006/relationships/hyperlink" Target="javascript:void(0);" TargetMode="External"/><Relationship Id="rId184" Type="http://schemas.openxmlformats.org/officeDocument/2006/relationships/hyperlink" Target="javascript:void(0);" TargetMode="External"/><Relationship Id="rId219" Type="http://schemas.openxmlformats.org/officeDocument/2006/relationships/hyperlink" Target="javascript:void(0);" TargetMode="External"/><Relationship Id="rId230" Type="http://schemas.openxmlformats.org/officeDocument/2006/relationships/hyperlink" Target="javascript:void(0);" TargetMode="External"/><Relationship Id="rId25" Type="http://schemas.openxmlformats.org/officeDocument/2006/relationships/hyperlink" Target="javascript:void(0);" TargetMode="External"/><Relationship Id="rId46" Type="http://schemas.openxmlformats.org/officeDocument/2006/relationships/hyperlink" Target="javascript:void(0);" TargetMode="External"/><Relationship Id="rId67" Type="http://schemas.openxmlformats.org/officeDocument/2006/relationships/hyperlink" Target="javascript:void(0);" TargetMode="External"/><Relationship Id="rId88" Type="http://schemas.openxmlformats.org/officeDocument/2006/relationships/hyperlink" Target="javascript:void(0);" TargetMode="External"/><Relationship Id="rId111" Type="http://schemas.openxmlformats.org/officeDocument/2006/relationships/hyperlink" Target="javascript:void(0);" TargetMode="External"/><Relationship Id="rId132" Type="http://schemas.openxmlformats.org/officeDocument/2006/relationships/hyperlink" Target="javascript:void(0);" TargetMode="External"/><Relationship Id="rId153" Type="http://schemas.openxmlformats.org/officeDocument/2006/relationships/hyperlink" Target="javascript:void(0);" TargetMode="External"/><Relationship Id="rId174" Type="http://schemas.openxmlformats.org/officeDocument/2006/relationships/hyperlink" Target="javascript:void(0);" TargetMode="External"/><Relationship Id="rId195" Type="http://schemas.openxmlformats.org/officeDocument/2006/relationships/hyperlink" Target="javascript:void(0);" TargetMode="External"/><Relationship Id="rId209" Type="http://schemas.openxmlformats.org/officeDocument/2006/relationships/hyperlink" Target="javascript:void(0);" TargetMode="External"/><Relationship Id="rId220" Type="http://schemas.openxmlformats.org/officeDocument/2006/relationships/hyperlink" Target="javascript:void(0);" TargetMode="External"/><Relationship Id="rId241" Type="http://schemas.openxmlformats.org/officeDocument/2006/relationships/hyperlink" Target="javascript:void(0);" TargetMode="External"/><Relationship Id="rId15" Type="http://schemas.openxmlformats.org/officeDocument/2006/relationships/hyperlink" Target="javascript:void(0);" TargetMode="External"/><Relationship Id="rId36" Type="http://schemas.openxmlformats.org/officeDocument/2006/relationships/hyperlink" Target="javascript:void(0);" TargetMode="External"/><Relationship Id="rId57" Type="http://schemas.openxmlformats.org/officeDocument/2006/relationships/hyperlink" Target="javascript:void(0);" TargetMode="External"/><Relationship Id="rId106" Type="http://schemas.openxmlformats.org/officeDocument/2006/relationships/hyperlink" Target="javascript:void(0);" TargetMode="External"/><Relationship Id="rId127" Type="http://schemas.openxmlformats.org/officeDocument/2006/relationships/hyperlink" Target="javascript:void(0);" TargetMode="External"/><Relationship Id="rId10" Type="http://schemas.openxmlformats.org/officeDocument/2006/relationships/hyperlink" Target="javascript:void(0);" TargetMode="External"/><Relationship Id="rId31" Type="http://schemas.openxmlformats.org/officeDocument/2006/relationships/hyperlink" Target="javascript:void(0);" TargetMode="External"/><Relationship Id="rId52" Type="http://schemas.openxmlformats.org/officeDocument/2006/relationships/hyperlink" Target="javascript:void(0);" TargetMode="External"/><Relationship Id="rId73" Type="http://schemas.openxmlformats.org/officeDocument/2006/relationships/hyperlink" Target="javascript:void(0);" TargetMode="External"/><Relationship Id="rId78" Type="http://schemas.openxmlformats.org/officeDocument/2006/relationships/hyperlink" Target="javascript:void(0);" TargetMode="External"/><Relationship Id="rId94" Type="http://schemas.openxmlformats.org/officeDocument/2006/relationships/hyperlink" Target="javascript:void(0);" TargetMode="External"/><Relationship Id="rId99" Type="http://schemas.openxmlformats.org/officeDocument/2006/relationships/hyperlink" Target="javascript:void(0);" TargetMode="External"/><Relationship Id="rId101" Type="http://schemas.openxmlformats.org/officeDocument/2006/relationships/hyperlink" Target="javascript:void(0);" TargetMode="External"/><Relationship Id="rId122" Type="http://schemas.openxmlformats.org/officeDocument/2006/relationships/hyperlink" Target="javascript:void(0);" TargetMode="External"/><Relationship Id="rId143" Type="http://schemas.openxmlformats.org/officeDocument/2006/relationships/hyperlink" Target="javascript:void(0);" TargetMode="External"/><Relationship Id="rId148" Type="http://schemas.openxmlformats.org/officeDocument/2006/relationships/hyperlink" Target="javascript:void(0);" TargetMode="External"/><Relationship Id="rId164" Type="http://schemas.openxmlformats.org/officeDocument/2006/relationships/hyperlink" Target="javascript:void(0);" TargetMode="External"/><Relationship Id="rId169" Type="http://schemas.openxmlformats.org/officeDocument/2006/relationships/hyperlink" Target="javascript:void(0);" TargetMode="External"/><Relationship Id="rId185" Type="http://schemas.openxmlformats.org/officeDocument/2006/relationships/hyperlink" Target="javascript:void(0);" TargetMode="External"/><Relationship Id="rId4" Type="http://schemas.openxmlformats.org/officeDocument/2006/relationships/hyperlink" Target="javascript:void(0);" TargetMode="External"/><Relationship Id="rId9" Type="http://schemas.openxmlformats.org/officeDocument/2006/relationships/hyperlink" Target="javascript:void(0);" TargetMode="External"/><Relationship Id="rId180" Type="http://schemas.openxmlformats.org/officeDocument/2006/relationships/hyperlink" Target="javascript:void(0);" TargetMode="External"/><Relationship Id="rId210" Type="http://schemas.openxmlformats.org/officeDocument/2006/relationships/hyperlink" Target="javascript:void(0);" TargetMode="External"/><Relationship Id="rId215" Type="http://schemas.openxmlformats.org/officeDocument/2006/relationships/hyperlink" Target="javascript:void(0);" TargetMode="External"/><Relationship Id="rId236" Type="http://schemas.openxmlformats.org/officeDocument/2006/relationships/hyperlink" Target="javascript:void(0);" TargetMode="External"/><Relationship Id="rId26" Type="http://schemas.openxmlformats.org/officeDocument/2006/relationships/hyperlink" Target="javascript:void(0);" TargetMode="External"/><Relationship Id="rId231" Type="http://schemas.openxmlformats.org/officeDocument/2006/relationships/hyperlink" Target="javascript:void(0);" TargetMode="External"/><Relationship Id="rId47" Type="http://schemas.openxmlformats.org/officeDocument/2006/relationships/hyperlink" Target="javascript:void(0);" TargetMode="External"/><Relationship Id="rId68" Type="http://schemas.openxmlformats.org/officeDocument/2006/relationships/hyperlink" Target="javascript:void(0);" TargetMode="External"/><Relationship Id="rId89" Type="http://schemas.openxmlformats.org/officeDocument/2006/relationships/hyperlink" Target="javascript:void(0);" TargetMode="External"/><Relationship Id="rId112" Type="http://schemas.openxmlformats.org/officeDocument/2006/relationships/hyperlink" Target="javascript:void(0);" TargetMode="External"/><Relationship Id="rId133" Type="http://schemas.openxmlformats.org/officeDocument/2006/relationships/hyperlink" Target="javascript:void(0);" TargetMode="External"/><Relationship Id="rId154" Type="http://schemas.openxmlformats.org/officeDocument/2006/relationships/hyperlink" Target="javascript:void(0);" TargetMode="External"/><Relationship Id="rId175" Type="http://schemas.openxmlformats.org/officeDocument/2006/relationships/hyperlink" Target="javascript:void(0);" TargetMode="External"/><Relationship Id="rId196" Type="http://schemas.openxmlformats.org/officeDocument/2006/relationships/hyperlink" Target="javascript:void(0);" TargetMode="External"/><Relationship Id="rId200" Type="http://schemas.openxmlformats.org/officeDocument/2006/relationships/hyperlink" Target="javascript:void(0);" TargetMode="External"/><Relationship Id="rId16" Type="http://schemas.openxmlformats.org/officeDocument/2006/relationships/hyperlink" Target="javascript:void(0);" TargetMode="External"/><Relationship Id="rId221" Type="http://schemas.openxmlformats.org/officeDocument/2006/relationships/hyperlink" Target="javascript:void(0);" TargetMode="External"/><Relationship Id="rId242" Type="http://schemas.openxmlformats.org/officeDocument/2006/relationships/hyperlink" Target="javascript:void(0);" TargetMode="External"/><Relationship Id="rId37" Type="http://schemas.openxmlformats.org/officeDocument/2006/relationships/hyperlink" Target="javascript:void(0);" TargetMode="External"/><Relationship Id="rId58" Type="http://schemas.openxmlformats.org/officeDocument/2006/relationships/hyperlink" Target="javascript:void(0);" TargetMode="External"/><Relationship Id="rId79" Type="http://schemas.openxmlformats.org/officeDocument/2006/relationships/hyperlink" Target="javascript:void(0);" TargetMode="External"/><Relationship Id="rId102" Type="http://schemas.openxmlformats.org/officeDocument/2006/relationships/hyperlink" Target="javascript:void(0);" TargetMode="External"/><Relationship Id="rId123" Type="http://schemas.openxmlformats.org/officeDocument/2006/relationships/hyperlink" Target="javascript:void(0);" TargetMode="External"/><Relationship Id="rId144" Type="http://schemas.openxmlformats.org/officeDocument/2006/relationships/hyperlink" Target="javascript:void(0);" TargetMode="External"/><Relationship Id="rId90" Type="http://schemas.openxmlformats.org/officeDocument/2006/relationships/hyperlink" Target="javascript:void(0);" TargetMode="External"/><Relationship Id="rId165" Type="http://schemas.openxmlformats.org/officeDocument/2006/relationships/hyperlink" Target="javascript:void(0);" TargetMode="External"/><Relationship Id="rId186" Type="http://schemas.openxmlformats.org/officeDocument/2006/relationships/hyperlink" Target="javascript:void(0);" TargetMode="External"/><Relationship Id="rId211" Type="http://schemas.openxmlformats.org/officeDocument/2006/relationships/hyperlink" Target="javascript:void(0);" TargetMode="External"/><Relationship Id="rId232" Type="http://schemas.openxmlformats.org/officeDocument/2006/relationships/hyperlink" Target="javascript:void(0);" TargetMode="External"/><Relationship Id="rId27" Type="http://schemas.openxmlformats.org/officeDocument/2006/relationships/hyperlink" Target="javascript:void(0);" TargetMode="External"/><Relationship Id="rId48" Type="http://schemas.openxmlformats.org/officeDocument/2006/relationships/hyperlink" Target="javascript:void(0);" TargetMode="External"/><Relationship Id="rId69" Type="http://schemas.openxmlformats.org/officeDocument/2006/relationships/hyperlink" Target="javascript:void(0);" TargetMode="External"/><Relationship Id="rId113" Type="http://schemas.openxmlformats.org/officeDocument/2006/relationships/hyperlink" Target="javascript:void(0);" TargetMode="External"/><Relationship Id="rId134" Type="http://schemas.openxmlformats.org/officeDocument/2006/relationships/hyperlink" Target="javascript:void(0);" TargetMode="External"/><Relationship Id="rId80" Type="http://schemas.openxmlformats.org/officeDocument/2006/relationships/hyperlink" Target="javascript:void(0);" TargetMode="External"/><Relationship Id="rId155" Type="http://schemas.openxmlformats.org/officeDocument/2006/relationships/hyperlink" Target="javascript:void(0);" TargetMode="External"/><Relationship Id="rId176" Type="http://schemas.openxmlformats.org/officeDocument/2006/relationships/hyperlink" Target="javascript:void(0);" TargetMode="External"/><Relationship Id="rId197" Type="http://schemas.openxmlformats.org/officeDocument/2006/relationships/hyperlink" Target="javascript:void(0);" TargetMode="External"/><Relationship Id="rId201" Type="http://schemas.openxmlformats.org/officeDocument/2006/relationships/hyperlink" Target="javascript:void(0);" TargetMode="External"/><Relationship Id="rId222" Type="http://schemas.openxmlformats.org/officeDocument/2006/relationships/hyperlink" Target="javascript:void(0);" TargetMode="External"/><Relationship Id="rId243" Type="http://schemas.openxmlformats.org/officeDocument/2006/relationships/hyperlink" Target="javascript:void(0);" TargetMode="External"/><Relationship Id="rId17" Type="http://schemas.openxmlformats.org/officeDocument/2006/relationships/hyperlink" Target="javascript:void(0);" TargetMode="External"/><Relationship Id="rId38" Type="http://schemas.openxmlformats.org/officeDocument/2006/relationships/hyperlink" Target="javascript:void(0);" TargetMode="External"/><Relationship Id="rId59" Type="http://schemas.openxmlformats.org/officeDocument/2006/relationships/hyperlink" Target="javascript:void(0);" TargetMode="External"/><Relationship Id="rId103" Type="http://schemas.openxmlformats.org/officeDocument/2006/relationships/hyperlink" Target="javascript:void(0);" TargetMode="External"/><Relationship Id="rId124" Type="http://schemas.openxmlformats.org/officeDocument/2006/relationships/hyperlink" Target="javascript:void(0);" TargetMode="External"/><Relationship Id="rId70" Type="http://schemas.openxmlformats.org/officeDocument/2006/relationships/hyperlink" Target="javascript:void(0);" TargetMode="External"/><Relationship Id="rId91" Type="http://schemas.openxmlformats.org/officeDocument/2006/relationships/hyperlink" Target="javascript:void(0);" TargetMode="External"/><Relationship Id="rId145" Type="http://schemas.openxmlformats.org/officeDocument/2006/relationships/hyperlink" Target="javascript:void(0);" TargetMode="External"/><Relationship Id="rId166" Type="http://schemas.openxmlformats.org/officeDocument/2006/relationships/hyperlink" Target="javascript:void(0);" TargetMode="External"/><Relationship Id="rId187" Type="http://schemas.openxmlformats.org/officeDocument/2006/relationships/hyperlink" Target="javascript:void(0);" TargetMode="External"/><Relationship Id="rId1" Type="http://schemas.openxmlformats.org/officeDocument/2006/relationships/hyperlink" Target="javascript:void(0);" TargetMode="External"/><Relationship Id="rId212" Type="http://schemas.openxmlformats.org/officeDocument/2006/relationships/hyperlink" Target="javascript:void(0);" TargetMode="External"/><Relationship Id="rId233" Type="http://schemas.openxmlformats.org/officeDocument/2006/relationships/hyperlink" Target="javascript:void(0);" TargetMode="External"/><Relationship Id="rId28" Type="http://schemas.openxmlformats.org/officeDocument/2006/relationships/hyperlink" Target="javascript:void(0);" TargetMode="External"/><Relationship Id="rId49" Type="http://schemas.openxmlformats.org/officeDocument/2006/relationships/hyperlink" Target="javascript:void(0);" TargetMode="External"/><Relationship Id="rId114" Type="http://schemas.openxmlformats.org/officeDocument/2006/relationships/hyperlink" Target="javascript:void(0);" TargetMode="External"/><Relationship Id="rId60" Type="http://schemas.openxmlformats.org/officeDocument/2006/relationships/hyperlink" Target="javascript:void(0);" TargetMode="External"/><Relationship Id="rId81" Type="http://schemas.openxmlformats.org/officeDocument/2006/relationships/hyperlink" Target="javascript:void(0);" TargetMode="External"/><Relationship Id="rId135" Type="http://schemas.openxmlformats.org/officeDocument/2006/relationships/hyperlink" Target="javascript:void(0);" TargetMode="External"/><Relationship Id="rId156" Type="http://schemas.openxmlformats.org/officeDocument/2006/relationships/hyperlink" Target="javascript:void(0);" TargetMode="External"/><Relationship Id="rId177" Type="http://schemas.openxmlformats.org/officeDocument/2006/relationships/hyperlink" Target="javascript:void(0);" TargetMode="External"/><Relationship Id="rId198" Type="http://schemas.openxmlformats.org/officeDocument/2006/relationships/hyperlink" Target="javascript:void(0);" TargetMode="External"/><Relationship Id="rId202" Type="http://schemas.openxmlformats.org/officeDocument/2006/relationships/hyperlink" Target="javascript:void(0);" TargetMode="External"/><Relationship Id="rId223" Type="http://schemas.openxmlformats.org/officeDocument/2006/relationships/hyperlink" Target="javascript:void(0);" TargetMode="External"/><Relationship Id="rId18" Type="http://schemas.openxmlformats.org/officeDocument/2006/relationships/hyperlink" Target="javascript:void(0);" TargetMode="External"/><Relationship Id="rId39" Type="http://schemas.openxmlformats.org/officeDocument/2006/relationships/hyperlink" Target="javascript:void(0);" TargetMode="External"/><Relationship Id="rId50" Type="http://schemas.openxmlformats.org/officeDocument/2006/relationships/hyperlink" Target="javascript:void(0);" TargetMode="External"/><Relationship Id="rId104" Type="http://schemas.openxmlformats.org/officeDocument/2006/relationships/hyperlink" Target="javascript:void(0);" TargetMode="External"/><Relationship Id="rId125" Type="http://schemas.openxmlformats.org/officeDocument/2006/relationships/hyperlink" Target="javascript:void(0);" TargetMode="External"/><Relationship Id="rId146" Type="http://schemas.openxmlformats.org/officeDocument/2006/relationships/hyperlink" Target="javascript:void(0);" TargetMode="External"/><Relationship Id="rId167" Type="http://schemas.openxmlformats.org/officeDocument/2006/relationships/hyperlink" Target="javascript:void(0);" TargetMode="External"/><Relationship Id="rId188" Type="http://schemas.openxmlformats.org/officeDocument/2006/relationships/hyperlink" Target="javascript:void(0);" TargetMode="External"/><Relationship Id="rId71" Type="http://schemas.openxmlformats.org/officeDocument/2006/relationships/hyperlink" Target="javascript:void(0);" TargetMode="External"/><Relationship Id="rId92" Type="http://schemas.openxmlformats.org/officeDocument/2006/relationships/hyperlink" Target="javascript:void(0);" TargetMode="External"/><Relationship Id="rId213" Type="http://schemas.openxmlformats.org/officeDocument/2006/relationships/hyperlink" Target="javascript:void(0);" TargetMode="External"/><Relationship Id="rId234" Type="http://schemas.openxmlformats.org/officeDocument/2006/relationships/hyperlink" Target="javascript:void(0);" TargetMode="External"/><Relationship Id="rId2" Type="http://schemas.openxmlformats.org/officeDocument/2006/relationships/hyperlink" Target="javascript:void(0);" TargetMode="External"/><Relationship Id="rId29" Type="http://schemas.openxmlformats.org/officeDocument/2006/relationships/hyperlink" Target="javascript:void(0);" TargetMode="External"/><Relationship Id="rId40" Type="http://schemas.openxmlformats.org/officeDocument/2006/relationships/hyperlink" Target="javascript:void(0);" TargetMode="External"/><Relationship Id="rId115" Type="http://schemas.openxmlformats.org/officeDocument/2006/relationships/hyperlink" Target="javascript:void(0);" TargetMode="External"/><Relationship Id="rId136" Type="http://schemas.openxmlformats.org/officeDocument/2006/relationships/hyperlink" Target="javascript:void(0);" TargetMode="External"/><Relationship Id="rId157" Type="http://schemas.openxmlformats.org/officeDocument/2006/relationships/hyperlink" Target="javascript:void(0);" TargetMode="External"/><Relationship Id="rId178" Type="http://schemas.openxmlformats.org/officeDocument/2006/relationships/hyperlink" Target="javascript:void(0);" TargetMode="External"/><Relationship Id="rId61" Type="http://schemas.openxmlformats.org/officeDocument/2006/relationships/hyperlink" Target="javascript:void(0);" TargetMode="External"/><Relationship Id="rId82" Type="http://schemas.openxmlformats.org/officeDocument/2006/relationships/hyperlink" Target="javascript:void(0);" TargetMode="External"/><Relationship Id="rId199" Type="http://schemas.openxmlformats.org/officeDocument/2006/relationships/hyperlink" Target="javascript:void(0);" TargetMode="External"/><Relationship Id="rId203" Type="http://schemas.openxmlformats.org/officeDocument/2006/relationships/hyperlink" Target="javascript:void(0);" TargetMode="External"/><Relationship Id="rId19" Type="http://schemas.openxmlformats.org/officeDocument/2006/relationships/hyperlink" Target="javascript:void(0);" TargetMode="External"/><Relationship Id="rId224" Type="http://schemas.openxmlformats.org/officeDocument/2006/relationships/hyperlink" Target="javascript:void(0);" TargetMode="External"/><Relationship Id="rId30" Type="http://schemas.openxmlformats.org/officeDocument/2006/relationships/hyperlink" Target="javascript:void(0);" TargetMode="External"/><Relationship Id="rId105" Type="http://schemas.openxmlformats.org/officeDocument/2006/relationships/hyperlink" Target="javascript:void(0);" TargetMode="External"/><Relationship Id="rId126" Type="http://schemas.openxmlformats.org/officeDocument/2006/relationships/hyperlink" Target="javascript:void(0);" TargetMode="External"/><Relationship Id="rId147" Type="http://schemas.openxmlformats.org/officeDocument/2006/relationships/hyperlink" Target="javascript:void(0);" TargetMode="External"/><Relationship Id="rId168" Type="http://schemas.openxmlformats.org/officeDocument/2006/relationships/hyperlink" Target="javascript:void(0);" TargetMode="External"/><Relationship Id="rId51" Type="http://schemas.openxmlformats.org/officeDocument/2006/relationships/hyperlink" Target="javascript:void(0);" TargetMode="External"/><Relationship Id="rId72" Type="http://schemas.openxmlformats.org/officeDocument/2006/relationships/hyperlink" Target="javascript:void(0);" TargetMode="External"/><Relationship Id="rId93" Type="http://schemas.openxmlformats.org/officeDocument/2006/relationships/hyperlink" Target="javascript:void(0);" TargetMode="External"/><Relationship Id="rId189" Type="http://schemas.openxmlformats.org/officeDocument/2006/relationships/hyperlink" Target="javascript:void(0);" TargetMode="External"/><Relationship Id="rId3" Type="http://schemas.openxmlformats.org/officeDocument/2006/relationships/hyperlink" Target="javascript:void(0);" TargetMode="External"/><Relationship Id="rId214" Type="http://schemas.openxmlformats.org/officeDocument/2006/relationships/hyperlink" Target="javascript:void(0);" TargetMode="External"/><Relationship Id="rId235" Type="http://schemas.openxmlformats.org/officeDocument/2006/relationships/hyperlink" Target="javascript:void(0);" TargetMode="External"/><Relationship Id="rId116" Type="http://schemas.openxmlformats.org/officeDocument/2006/relationships/hyperlink" Target="javascript:void(0);" TargetMode="External"/><Relationship Id="rId137" Type="http://schemas.openxmlformats.org/officeDocument/2006/relationships/hyperlink" Target="javascript:void(0);" TargetMode="External"/><Relationship Id="rId158" Type="http://schemas.openxmlformats.org/officeDocument/2006/relationships/hyperlink" Target="javascript:void(0);" TargetMode="External"/><Relationship Id="rId20" Type="http://schemas.openxmlformats.org/officeDocument/2006/relationships/hyperlink" Target="javascript:void(0);" TargetMode="External"/><Relationship Id="rId41" Type="http://schemas.openxmlformats.org/officeDocument/2006/relationships/hyperlink" Target="javascript:void(0);" TargetMode="External"/><Relationship Id="rId62" Type="http://schemas.openxmlformats.org/officeDocument/2006/relationships/hyperlink" Target="javascript:void(0);" TargetMode="External"/><Relationship Id="rId83" Type="http://schemas.openxmlformats.org/officeDocument/2006/relationships/hyperlink" Target="javascript:void(0);" TargetMode="External"/><Relationship Id="rId179" Type="http://schemas.openxmlformats.org/officeDocument/2006/relationships/hyperlink" Target="javascript:void(0);" TargetMode="External"/><Relationship Id="rId190" Type="http://schemas.openxmlformats.org/officeDocument/2006/relationships/hyperlink" Target="javascript:void(0);" TargetMode="External"/><Relationship Id="rId204" Type="http://schemas.openxmlformats.org/officeDocument/2006/relationships/hyperlink" Target="javascript:void(0);" TargetMode="External"/><Relationship Id="rId225" Type="http://schemas.openxmlformats.org/officeDocument/2006/relationships/hyperlink" Target="javascript:void(0);" TargetMode="External"/></Relationships>
</file>

<file path=xl/worksheets/_rels/sheet8.xml.rels><?xml version="1.0" encoding="UTF-8" standalone="yes"?>
<Relationships xmlns="http://schemas.openxmlformats.org/package/2006/relationships"><Relationship Id="rId117" Type="http://schemas.openxmlformats.org/officeDocument/2006/relationships/hyperlink" Target="javascript:void(0);" TargetMode="External"/><Relationship Id="rId299" Type="http://schemas.openxmlformats.org/officeDocument/2006/relationships/hyperlink" Target="javascript:void(0);" TargetMode="External"/><Relationship Id="rId21" Type="http://schemas.openxmlformats.org/officeDocument/2006/relationships/hyperlink" Target="javascript:void(0);" TargetMode="External"/><Relationship Id="rId63" Type="http://schemas.openxmlformats.org/officeDocument/2006/relationships/hyperlink" Target="javascript:void(0);" TargetMode="External"/><Relationship Id="rId159" Type="http://schemas.openxmlformats.org/officeDocument/2006/relationships/hyperlink" Target="javascript:void(0);" TargetMode="External"/><Relationship Id="rId170" Type="http://schemas.openxmlformats.org/officeDocument/2006/relationships/hyperlink" Target="javascript:void(0);" TargetMode="External"/><Relationship Id="rId226" Type="http://schemas.openxmlformats.org/officeDocument/2006/relationships/hyperlink" Target="javascript:void(0);" TargetMode="External"/><Relationship Id="rId268" Type="http://schemas.openxmlformats.org/officeDocument/2006/relationships/hyperlink" Target="javascript:void(0);" TargetMode="External"/><Relationship Id="rId32" Type="http://schemas.openxmlformats.org/officeDocument/2006/relationships/hyperlink" Target="javascript:void(0);" TargetMode="External"/><Relationship Id="rId74" Type="http://schemas.openxmlformats.org/officeDocument/2006/relationships/hyperlink" Target="javascript:void(0);" TargetMode="External"/><Relationship Id="rId128" Type="http://schemas.openxmlformats.org/officeDocument/2006/relationships/hyperlink" Target="javascript:void(0);" TargetMode="External"/><Relationship Id="rId5" Type="http://schemas.openxmlformats.org/officeDocument/2006/relationships/hyperlink" Target="javascript:void(0);" TargetMode="External"/><Relationship Id="rId181" Type="http://schemas.openxmlformats.org/officeDocument/2006/relationships/hyperlink" Target="javascript:void(0);" TargetMode="External"/><Relationship Id="rId237" Type="http://schemas.openxmlformats.org/officeDocument/2006/relationships/hyperlink" Target="javascript:void(0);" TargetMode="External"/><Relationship Id="rId279" Type="http://schemas.openxmlformats.org/officeDocument/2006/relationships/hyperlink" Target="javascript:void(0);" TargetMode="External"/><Relationship Id="rId43" Type="http://schemas.openxmlformats.org/officeDocument/2006/relationships/hyperlink" Target="javascript:void(0);" TargetMode="External"/><Relationship Id="rId139" Type="http://schemas.openxmlformats.org/officeDocument/2006/relationships/hyperlink" Target="javascript:void(0);" TargetMode="External"/><Relationship Id="rId290" Type="http://schemas.openxmlformats.org/officeDocument/2006/relationships/hyperlink" Target="javascript:void(0);" TargetMode="External"/><Relationship Id="rId85" Type="http://schemas.openxmlformats.org/officeDocument/2006/relationships/hyperlink" Target="javascript:void(0);" TargetMode="External"/><Relationship Id="rId150" Type="http://schemas.openxmlformats.org/officeDocument/2006/relationships/hyperlink" Target="javascript:void(0);" TargetMode="External"/><Relationship Id="rId192" Type="http://schemas.openxmlformats.org/officeDocument/2006/relationships/hyperlink" Target="javascript:void(0);" TargetMode="External"/><Relationship Id="rId206" Type="http://schemas.openxmlformats.org/officeDocument/2006/relationships/hyperlink" Target="javascript:void(0);" TargetMode="External"/><Relationship Id="rId248" Type="http://schemas.openxmlformats.org/officeDocument/2006/relationships/hyperlink" Target="javascript:void(0);" TargetMode="External"/><Relationship Id="rId12" Type="http://schemas.openxmlformats.org/officeDocument/2006/relationships/hyperlink" Target="javascript:void(0);" TargetMode="External"/><Relationship Id="rId108" Type="http://schemas.openxmlformats.org/officeDocument/2006/relationships/hyperlink" Target="javascript:void(0);" TargetMode="External"/><Relationship Id="rId54" Type="http://schemas.openxmlformats.org/officeDocument/2006/relationships/hyperlink" Target="javascript:void(0);" TargetMode="External"/><Relationship Id="rId96" Type="http://schemas.openxmlformats.org/officeDocument/2006/relationships/hyperlink" Target="javascript:void(0);" TargetMode="External"/><Relationship Id="rId161" Type="http://schemas.openxmlformats.org/officeDocument/2006/relationships/hyperlink" Target="javascript:void(0);" TargetMode="External"/><Relationship Id="rId217" Type="http://schemas.openxmlformats.org/officeDocument/2006/relationships/hyperlink" Target="javascript:void(0);" TargetMode="External"/><Relationship Id="rId6" Type="http://schemas.openxmlformats.org/officeDocument/2006/relationships/hyperlink" Target="javascript:void(0);" TargetMode="External"/><Relationship Id="rId238" Type="http://schemas.openxmlformats.org/officeDocument/2006/relationships/hyperlink" Target="javascript:void(0);" TargetMode="External"/><Relationship Id="rId259" Type="http://schemas.openxmlformats.org/officeDocument/2006/relationships/hyperlink" Target="https://www-capitaliq-com.proxy.lib.sfu.ca/CIQDotNet/Financial/IncomeStatement.aspx?companyId=7683267&amp;statekey=ba88316dad5740b9bb1f22a6f16c0255" TargetMode="External"/><Relationship Id="rId23" Type="http://schemas.openxmlformats.org/officeDocument/2006/relationships/hyperlink" Target="javascript:void(0);" TargetMode="External"/><Relationship Id="rId119" Type="http://schemas.openxmlformats.org/officeDocument/2006/relationships/hyperlink" Target="javascript:void(0);" TargetMode="External"/><Relationship Id="rId270" Type="http://schemas.openxmlformats.org/officeDocument/2006/relationships/hyperlink" Target="javascript:void(0);" TargetMode="External"/><Relationship Id="rId291" Type="http://schemas.openxmlformats.org/officeDocument/2006/relationships/hyperlink" Target="javascript:void(0);" TargetMode="External"/><Relationship Id="rId44" Type="http://schemas.openxmlformats.org/officeDocument/2006/relationships/hyperlink" Target="javascript:void(0);" TargetMode="External"/><Relationship Id="rId65" Type="http://schemas.openxmlformats.org/officeDocument/2006/relationships/hyperlink" Target="javascript:void(0);" TargetMode="External"/><Relationship Id="rId86" Type="http://schemas.openxmlformats.org/officeDocument/2006/relationships/hyperlink" Target="javascript:void(0);" TargetMode="External"/><Relationship Id="rId130" Type="http://schemas.openxmlformats.org/officeDocument/2006/relationships/hyperlink" Target="javascript:void(0);" TargetMode="External"/><Relationship Id="rId151" Type="http://schemas.openxmlformats.org/officeDocument/2006/relationships/hyperlink" Target="javascript:void(0);" TargetMode="External"/><Relationship Id="rId172" Type="http://schemas.openxmlformats.org/officeDocument/2006/relationships/hyperlink" Target="javascript:void(0);" TargetMode="External"/><Relationship Id="rId193" Type="http://schemas.openxmlformats.org/officeDocument/2006/relationships/hyperlink" Target="javascript:void(0);" TargetMode="External"/><Relationship Id="rId207" Type="http://schemas.openxmlformats.org/officeDocument/2006/relationships/hyperlink" Target="javascript:void(0);" TargetMode="External"/><Relationship Id="rId228" Type="http://schemas.openxmlformats.org/officeDocument/2006/relationships/hyperlink" Target="javascript:void(0);" TargetMode="External"/><Relationship Id="rId249" Type="http://schemas.openxmlformats.org/officeDocument/2006/relationships/hyperlink" Target="javascript:void(0);" TargetMode="External"/><Relationship Id="rId13" Type="http://schemas.openxmlformats.org/officeDocument/2006/relationships/hyperlink" Target="javascript:void(0);" TargetMode="External"/><Relationship Id="rId109" Type="http://schemas.openxmlformats.org/officeDocument/2006/relationships/hyperlink" Target="javascript:void(0);" TargetMode="External"/><Relationship Id="rId260" Type="http://schemas.openxmlformats.org/officeDocument/2006/relationships/hyperlink" Target="https://www-capitaliq-com.proxy.lib.sfu.ca/CIQDotNet/Financial/IncomeStatement.aspx?companyId=7683267&amp;statekey=ba88316dad5740b9bb1f22a6f16c0255" TargetMode="External"/><Relationship Id="rId281" Type="http://schemas.openxmlformats.org/officeDocument/2006/relationships/hyperlink" Target="javascript:void(0);" TargetMode="External"/><Relationship Id="rId34" Type="http://schemas.openxmlformats.org/officeDocument/2006/relationships/hyperlink" Target="javascript:void(0);" TargetMode="External"/><Relationship Id="rId55" Type="http://schemas.openxmlformats.org/officeDocument/2006/relationships/hyperlink" Target="javascript:void(0);" TargetMode="External"/><Relationship Id="rId76" Type="http://schemas.openxmlformats.org/officeDocument/2006/relationships/hyperlink" Target="javascript:void(0);" TargetMode="External"/><Relationship Id="rId97" Type="http://schemas.openxmlformats.org/officeDocument/2006/relationships/hyperlink" Target="javascript:void(0);" TargetMode="External"/><Relationship Id="rId120" Type="http://schemas.openxmlformats.org/officeDocument/2006/relationships/hyperlink" Target="javascript:void(0);" TargetMode="External"/><Relationship Id="rId141" Type="http://schemas.openxmlformats.org/officeDocument/2006/relationships/hyperlink" Target="javascript:void(0);" TargetMode="External"/><Relationship Id="rId7" Type="http://schemas.openxmlformats.org/officeDocument/2006/relationships/hyperlink" Target="javascript:void(0);" TargetMode="External"/><Relationship Id="rId162" Type="http://schemas.openxmlformats.org/officeDocument/2006/relationships/hyperlink" Target="javascript:void(0);" TargetMode="External"/><Relationship Id="rId183" Type="http://schemas.openxmlformats.org/officeDocument/2006/relationships/hyperlink" Target="javascript:void(0);" TargetMode="External"/><Relationship Id="rId218" Type="http://schemas.openxmlformats.org/officeDocument/2006/relationships/hyperlink" Target="javascript:void(0);" TargetMode="External"/><Relationship Id="rId239" Type="http://schemas.openxmlformats.org/officeDocument/2006/relationships/hyperlink" Target="javascript:void(0);" TargetMode="External"/><Relationship Id="rId250" Type="http://schemas.openxmlformats.org/officeDocument/2006/relationships/hyperlink" Target="javascript:void(0);" TargetMode="External"/><Relationship Id="rId271" Type="http://schemas.openxmlformats.org/officeDocument/2006/relationships/hyperlink" Target="javascript:void(0);" TargetMode="External"/><Relationship Id="rId292" Type="http://schemas.openxmlformats.org/officeDocument/2006/relationships/hyperlink" Target="javascript:void(0);" TargetMode="External"/><Relationship Id="rId24" Type="http://schemas.openxmlformats.org/officeDocument/2006/relationships/hyperlink" Target="javascript:void(0);" TargetMode="External"/><Relationship Id="rId45" Type="http://schemas.openxmlformats.org/officeDocument/2006/relationships/hyperlink" Target="javascript:void(0);" TargetMode="External"/><Relationship Id="rId66" Type="http://schemas.openxmlformats.org/officeDocument/2006/relationships/hyperlink" Target="javascript:void(0);" TargetMode="External"/><Relationship Id="rId87" Type="http://schemas.openxmlformats.org/officeDocument/2006/relationships/hyperlink" Target="javascript:void(0);" TargetMode="External"/><Relationship Id="rId110" Type="http://schemas.openxmlformats.org/officeDocument/2006/relationships/hyperlink" Target="javascript:void(0);" TargetMode="External"/><Relationship Id="rId131" Type="http://schemas.openxmlformats.org/officeDocument/2006/relationships/hyperlink" Target="javascript:void(0);" TargetMode="External"/><Relationship Id="rId152" Type="http://schemas.openxmlformats.org/officeDocument/2006/relationships/hyperlink" Target="javascript:void(0);" TargetMode="External"/><Relationship Id="rId173" Type="http://schemas.openxmlformats.org/officeDocument/2006/relationships/hyperlink" Target="javascript:void(0);" TargetMode="External"/><Relationship Id="rId194" Type="http://schemas.openxmlformats.org/officeDocument/2006/relationships/hyperlink" Target="javascript:void(0);" TargetMode="External"/><Relationship Id="rId208" Type="http://schemas.openxmlformats.org/officeDocument/2006/relationships/hyperlink" Target="javascript:void(0);" TargetMode="External"/><Relationship Id="rId229" Type="http://schemas.openxmlformats.org/officeDocument/2006/relationships/hyperlink" Target="javascript:void(0);" TargetMode="External"/><Relationship Id="rId240" Type="http://schemas.openxmlformats.org/officeDocument/2006/relationships/hyperlink" Target="javascript:void(0);" TargetMode="External"/><Relationship Id="rId261" Type="http://schemas.openxmlformats.org/officeDocument/2006/relationships/hyperlink" Target="https://www-capitaliq-com.proxy.lib.sfu.ca/CIQDotNet/Financial/IncomeStatement.aspx?companyId=7683267&amp;statekey=ba88316dad5740b9bb1f22a6f16c0255" TargetMode="External"/><Relationship Id="rId14" Type="http://schemas.openxmlformats.org/officeDocument/2006/relationships/hyperlink" Target="javascript:void(0);" TargetMode="External"/><Relationship Id="rId35" Type="http://schemas.openxmlformats.org/officeDocument/2006/relationships/hyperlink" Target="javascript:void(0);" TargetMode="External"/><Relationship Id="rId56" Type="http://schemas.openxmlformats.org/officeDocument/2006/relationships/hyperlink" Target="javascript:void(0);" TargetMode="External"/><Relationship Id="rId77" Type="http://schemas.openxmlformats.org/officeDocument/2006/relationships/hyperlink" Target="javascript:void(0);" TargetMode="External"/><Relationship Id="rId100" Type="http://schemas.openxmlformats.org/officeDocument/2006/relationships/hyperlink" Target="javascript:void(0);" TargetMode="External"/><Relationship Id="rId282" Type="http://schemas.openxmlformats.org/officeDocument/2006/relationships/hyperlink" Target="javascript:void(0);" TargetMode="External"/><Relationship Id="rId8" Type="http://schemas.openxmlformats.org/officeDocument/2006/relationships/hyperlink" Target="javascript:void(0);" TargetMode="External"/><Relationship Id="rId98" Type="http://schemas.openxmlformats.org/officeDocument/2006/relationships/hyperlink" Target="javascript:void(0);" TargetMode="External"/><Relationship Id="rId121" Type="http://schemas.openxmlformats.org/officeDocument/2006/relationships/hyperlink" Target="javascript:void(0);" TargetMode="External"/><Relationship Id="rId142" Type="http://schemas.openxmlformats.org/officeDocument/2006/relationships/hyperlink" Target="javascript:void(0);" TargetMode="External"/><Relationship Id="rId163" Type="http://schemas.openxmlformats.org/officeDocument/2006/relationships/hyperlink" Target="javascript:void(0);" TargetMode="External"/><Relationship Id="rId184" Type="http://schemas.openxmlformats.org/officeDocument/2006/relationships/hyperlink" Target="javascript:void(0);" TargetMode="External"/><Relationship Id="rId219" Type="http://schemas.openxmlformats.org/officeDocument/2006/relationships/hyperlink" Target="javascript:void(0);" TargetMode="External"/><Relationship Id="rId230" Type="http://schemas.openxmlformats.org/officeDocument/2006/relationships/hyperlink" Target="javascript:void(0);" TargetMode="External"/><Relationship Id="rId251" Type="http://schemas.openxmlformats.org/officeDocument/2006/relationships/hyperlink" Target="javascript:void(0);" TargetMode="External"/><Relationship Id="rId25" Type="http://schemas.openxmlformats.org/officeDocument/2006/relationships/hyperlink" Target="javascript:void(0);" TargetMode="External"/><Relationship Id="rId46" Type="http://schemas.openxmlformats.org/officeDocument/2006/relationships/hyperlink" Target="javascript:void(0);" TargetMode="External"/><Relationship Id="rId67" Type="http://schemas.openxmlformats.org/officeDocument/2006/relationships/hyperlink" Target="javascript:void(0);" TargetMode="External"/><Relationship Id="rId272" Type="http://schemas.openxmlformats.org/officeDocument/2006/relationships/hyperlink" Target="javascript:void(0);" TargetMode="External"/><Relationship Id="rId293" Type="http://schemas.openxmlformats.org/officeDocument/2006/relationships/hyperlink" Target="javascript:void(0);" TargetMode="External"/><Relationship Id="rId88" Type="http://schemas.openxmlformats.org/officeDocument/2006/relationships/hyperlink" Target="javascript:void(0);" TargetMode="External"/><Relationship Id="rId111" Type="http://schemas.openxmlformats.org/officeDocument/2006/relationships/hyperlink" Target="javascript:void(0);" TargetMode="External"/><Relationship Id="rId132" Type="http://schemas.openxmlformats.org/officeDocument/2006/relationships/hyperlink" Target="javascript:void(0);" TargetMode="External"/><Relationship Id="rId153" Type="http://schemas.openxmlformats.org/officeDocument/2006/relationships/hyperlink" Target="javascript:void(0);" TargetMode="External"/><Relationship Id="rId174" Type="http://schemas.openxmlformats.org/officeDocument/2006/relationships/hyperlink" Target="javascript:void(0);" TargetMode="External"/><Relationship Id="rId195" Type="http://schemas.openxmlformats.org/officeDocument/2006/relationships/hyperlink" Target="javascript:void(0);" TargetMode="External"/><Relationship Id="rId209" Type="http://schemas.openxmlformats.org/officeDocument/2006/relationships/hyperlink" Target="javascript:void(0);" TargetMode="External"/><Relationship Id="rId220" Type="http://schemas.openxmlformats.org/officeDocument/2006/relationships/hyperlink" Target="javascript:void(0);" TargetMode="External"/><Relationship Id="rId241" Type="http://schemas.openxmlformats.org/officeDocument/2006/relationships/hyperlink" Target="javascript:void(0);" TargetMode="External"/><Relationship Id="rId15" Type="http://schemas.openxmlformats.org/officeDocument/2006/relationships/hyperlink" Target="javascript:void(0);" TargetMode="External"/><Relationship Id="rId36" Type="http://schemas.openxmlformats.org/officeDocument/2006/relationships/hyperlink" Target="javascript:void(0);" TargetMode="External"/><Relationship Id="rId57" Type="http://schemas.openxmlformats.org/officeDocument/2006/relationships/hyperlink" Target="javascript:void(0);" TargetMode="External"/><Relationship Id="rId262" Type="http://schemas.openxmlformats.org/officeDocument/2006/relationships/hyperlink" Target="https://www-capitaliq-com.proxy.lib.sfu.ca/CIQDotNet/Financial/IncomeStatement.aspx?companyId=7683267&amp;statekey=ba88316dad5740b9bb1f22a6f16c0255" TargetMode="External"/><Relationship Id="rId283" Type="http://schemas.openxmlformats.org/officeDocument/2006/relationships/hyperlink" Target="javascript:void(0);" TargetMode="External"/><Relationship Id="rId78" Type="http://schemas.openxmlformats.org/officeDocument/2006/relationships/hyperlink" Target="javascript:void(0);" TargetMode="External"/><Relationship Id="rId99" Type="http://schemas.openxmlformats.org/officeDocument/2006/relationships/hyperlink" Target="javascript:void(0);" TargetMode="External"/><Relationship Id="rId101" Type="http://schemas.openxmlformats.org/officeDocument/2006/relationships/hyperlink" Target="javascript:void(0);" TargetMode="External"/><Relationship Id="rId122" Type="http://schemas.openxmlformats.org/officeDocument/2006/relationships/hyperlink" Target="javascript:void(0);" TargetMode="External"/><Relationship Id="rId143" Type="http://schemas.openxmlformats.org/officeDocument/2006/relationships/hyperlink" Target="javascript:void(0);" TargetMode="External"/><Relationship Id="rId164" Type="http://schemas.openxmlformats.org/officeDocument/2006/relationships/hyperlink" Target="javascript:void(0);" TargetMode="External"/><Relationship Id="rId185" Type="http://schemas.openxmlformats.org/officeDocument/2006/relationships/hyperlink" Target="javascript:void(0);" TargetMode="External"/><Relationship Id="rId9" Type="http://schemas.openxmlformats.org/officeDocument/2006/relationships/hyperlink" Target="javascript:void(0);" TargetMode="External"/><Relationship Id="rId210" Type="http://schemas.openxmlformats.org/officeDocument/2006/relationships/hyperlink" Target="javascript:void(0);" TargetMode="External"/><Relationship Id="rId26" Type="http://schemas.openxmlformats.org/officeDocument/2006/relationships/hyperlink" Target="javascript:void(0);" TargetMode="External"/><Relationship Id="rId231" Type="http://schemas.openxmlformats.org/officeDocument/2006/relationships/hyperlink" Target="javascript:void(0);" TargetMode="External"/><Relationship Id="rId252" Type="http://schemas.openxmlformats.org/officeDocument/2006/relationships/hyperlink" Target="javascript:void(0);" TargetMode="External"/><Relationship Id="rId273" Type="http://schemas.openxmlformats.org/officeDocument/2006/relationships/hyperlink" Target="javascript:void(0);" TargetMode="External"/><Relationship Id="rId294" Type="http://schemas.openxmlformats.org/officeDocument/2006/relationships/hyperlink" Target="javascript:void(0);" TargetMode="External"/><Relationship Id="rId47" Type="http://schemas.openxmlformats.org/officeDocument/2006/relationships/hyperlink" Target="javascript:void(0);" TargetMode="External"/><Relationship Id="rId68" Type="http://schemas.openxmlformats.org/officeDocument/2006/relationships/hyperlink" Target="javascript:void(0);" TargetMode="External"/><Relationship Id="rId89" Type="http://schemas.openxmlformats.org/officeDocument/2006/relationships/hyperlink" Target="javascript:void(0);" TargetMode="External"/><Relationship Id="rId112" Type="http://schemas.openxmlformats.org/officeDocument/2006/relationships/hyperlink" Target="javascript:void(0);" TargetMode="External"/><Relationship Id="rId133" Type="http://schemas.openxmlformats.org/officeDocument/2006/relationships/hyperlink" Target="javascript:void(0);" TargetMode="External"/><Relationship Id="rId154" Type="http://schemas.openxmlformats.org/officeDocument/2006/relationships/hyperlink" Target="javascript:void(0);" TargetMode="External"/><Relationship Id="rId175" Type="http://schemas.openxmlformats.org/officeDocument/2006/relationships/hyperlink" Target="javascript:void(0);" TargetMode="External"/><Relationship Id="rId196" Type="http://schemas.openxmlformats.org/officeDocument/2006/relationships/hyperlink" Target="javascript:void(0);" TargetMode="External"/><Relationship Id="rId200" Type="http://schemas.openxmlformats.org/officeDocument/2006/relationships/hyperlink" Target="javascript:void(0);" TargetMode="External"/><Relationship Id="rId16" Type="http://schemas.openxmlformats.org/officeDocument/2006/relationships/hyperlink" Target="javascript:void(0);" TargetMode="External"/><Relationship Id="rId221" Type="http://schemas.openxmlformats.org/officeDocument/2006/relationships/hyperlink" Target="javascript:void(0);" TargetMode="External"/><Relationship Id="rId242" Type="http://schemas.openxmlformats.org/officeDocument/2006/relationships/hyperlink" Target="javascript:void(0);" TargetMode="External"/><Relationship Id="rId263" Type="http://schemas.openxmlformats.org/officeDocument/2006/relationships/hyperlink" Target="https://www-capitaliq-com.proxy.lib.sfu.ca/CIQDotNet/Financial/IncomeStatement.aspx?companyId=7683267&amp;statekey=ba88316dad5740b9bb1f22a6f16c0255" TargetMode="External"/><Relationship Id="rId284" Type="http://schemas.openxmlformats.org/officeDocument/2006/relationships/hyperlink" Target="javascript:void(0);" TargetMode="External"/><Relationship Id="rId37" Type="http://schemas.openxmlformats.org/officeDocument/2006/relationships/hyperlink" Target="javascript:void(0);" TargetMode="External"/><Relationship Id="rId58" Type="http://schemas.openxmlformats.org/officeDocument/2006/relationships/hyperlink" Target="javascript:void(0);" TargetMode="External"/><Relationship Id="rId79" Type="http://schemas.openxmlformats.org/officeDocument/2006/relationships/hyperlink" Target="javascript:void(0);" TargetMode="External"/><Relationship Id="rId102" Type="http://schemas.openxmlformats.org/officeDocument/2006/relationships/hyperlink" Target="javascript:void(0);" TargetMode="External"/><Relationship Id="rId123" Type="http://schemas.openxmlformats.org/officeDocument/2006/relationships/hyperlink" Target="javascript:void(0);" TargetMode="External"/><Relationship Id="rId144" Type="http://schemas.openxmlformats.org/officeDocument/2006/relationships/hyperlink" Target="javascript:void(0);" TargetMode="External"/><Relationship Id="rId90" Type="http://schemas.openxmlformats.org/officeDocument/2006/relationships/hyperlink" Target="javascript:void(0);" TargetMode="External"/><Relationship Id="rId165" Type="http://schemas.openxmlformats.org/officeDocument/2006/relationships/hyperlink" Target="javascript:void(0);" TargetMode="External"/><Relationship Id="rId186" Type="http://schemas.openxmlformats.org/officeDocument/2006/relationships/hyperlink" Target="javascript:void(0);" TargetMode="External"/><Relationship Id="rId211" Type="http://schemas.openxmlformats.org/officeDocument/2006/relationships/hyperlink" Target="javascript:void(0);" TargetMode="External"/><Relationship Id="rId232" Type="http://schemas.openxmlformats.org/officeDocument/2006/relationships/hyperlink" Target="javascript:void(0);" TargetMode="External"/><Relationship Id="rId253" Type="http://schemas.openxmlformats.org/officeDocument/2006/relationships/hyperlink" Target="javascript:void(0);" TargetMode="External"/><Relationship Id="rId274" Type="http://schemas.openxmlformats.org/officeDocument/2006/relationships/hyperlink" Target="javascript:void(0);" TargetMode="External"/><Relationship Id="rId295" Type="http://schemas.openxmlformats.org/officeDocument/2006/relationships/hyperlink" Target="javascript:void(0);" TargetMode="External"/><Relationship Id="rId27" Type="http://schemas.openxmlformats.org/officeDocument/2006/relationships/hyperlink" Target="javascript:void(0);" TargetMode="External"/><Relationship Id="rId48" Type="http://schemas.openxmlformats.org/officeDocument/2006/relationships/hyperlink" Target="javascript:void(0);" TargetMode="External"/><Relationship Id="rId69" Type="http://schemas.openxmlformats.org/officeDocument/2006/relationships/hyperlink" Target="javascript:void(0);" TargetMode="External"/><Relationship Id="rId113" Type="http://schemas.openxmlformats.org/officeDocument/2006/relationships/hyperlink" Target="javascript:void(0);" TargetMode="External"/><Relationship Id="rId134" Type="http://schemas.openxmlformats.org/officeDocument/2006/relationships/hyperlink" Target="javascript:void(0);" TargetMode="External"/><Relationship Id="rId80" Type="http://schemas.openxmlformats.org/officeDocument/2006/relationships/hyperlink" Target="javascript:void(0);" TargetMode="External"/><Relationship Id="rId155" Type="http://schemas.openxmlformats.org/officeDocument/2006/relationships/hyperlink" Target="javascript:void(0);" TargetMode="External"/><Relationship Id="rId176" Type="http://schemas.openxmlformats.org/officeDocument/2006/relationships/hyperlink" Target="javascript:void(0);" TargetMode="External"/><Relationship Id="rId197" Type="http://schemas.openxmlformats.org/officeDocument/2006/relationships/hyperlink" Target="javascript:void(0);" TargetMode="External"/><Relationship Id="rId201" Type="http://schemas.openxmlformats.org/officeDocument/2006/relationships/hyperlink" Target="javascript:void(0);" TargetMode="External"/><Relationship Id="rId222" Type="http://schemas.openxmlformats.org/officeDocument/2006/relationships/hyperlink" Target="javascript:void(0);" TargetMode="External"/><Relationship Id="rId243" Type="http://schemas.openxmlformats.org/officeDocument/2006/relationships/hyperlink" Target="javascript:void(0);" TargetMode="External"/><Relationship Id="rId264" Type="http://schemas.openxmlformats.org/officeDocument/2006/relationships/hyperlink" Target="https://www-capitaliq-com.proxy.lib.sfu.ca/CIQDotNet/Financial/IncomeStatement.aspx?companyId=7683267&amp;statekey=ba88316dad5740b9bb1f22a6f16c0255" TargetMode="External"/><Relationship Id="rId285" Type="http://schemas.openxmlformats.org/officeDocument/2006/relationships/hyperlink" Target="javascript:void(0);" TargetMode="External"/><Relationship Id="rId17" Type="http://schemas.openxmlformats.org/officeDocument/2006/relationships/hyperlink" Target="javascript:void(0);" TargetMode="External"/><Relationship Id="rId38" Type="http://schemas.openxmlformats.org/officeDocument/2006/relationships/hyperlink" Target="javascript:void(0);" TargetMode="External"/><Relationship Id="rId59" Type="http://schemas.openxmlformats.org/officeDocument/2006/relationships/hyperlink" Target="javascript:void(0);" TargetMode="External"/><Relationship Id="rId103" Type="http://schemas.openxmlformats.org/officeDocument/2006/relationships/hyperlink" Target="javascript:void(0);" TargetMode="External"/><Relationship Id="rId124" Type="http://schemas.openxmlformats.org/officeDocument/2006/relationships/hyperlink" Target="javascript:void(0);" TargetMode="External"/><Relationship Id="rId70" Type="http://schemas.openxmlformats.org/officeDocument/2006/relationships/hyperlink" Target="javascript:void(0);" TargetMode="External"/><Relationship Id="rId91" Type="http://schemas.openxmlformats.org/officeDocument/2006/relationships/hyperlink" Target="javascript:void(0);" TargetMode="External"/><Relationship Id="rId145" Type="http://schemas.openxmlformats.org/officeDocument/2006/relationships/hyperlink" Target="javascript:void(0);" TargetMode="External"/><Relationship Id="rId166" Type="http://schemas.openxmlformats.org/officeDocument/2006/relationships/hyperlink" Target="javascript:void(0);" TargetMode="External"/><Relationship Id="rId187" Type="http://schemas.openxmlformats.org/officeDocument/2006/relationships/hyperlink" Target="javascript:void(0);" TargetMode="External"/><Relationship Id="rId1" Type="http://schemas.openxmlformats.org/officeDocument/2006/relationships/hyperlink" Target="javascript:void(0);" TargetMode="External"/><Relationship Id="rId212" Type="http://schemas.openxmlformats.org/officeDocument/2006/relationships/hyperlink" Target="javascript:void(0);" TargetMode="External"/><Relationship Id="rId233" Type="http://schemas.openxmlformats.org/officeDocument/2006/relationships/hyperlink" Target="javascript:void(0);" TargetMode="External"/><Relationship Id="rId254" Type="http://schemas.openxmlformats.org/officeDocument/2006/relationships/hyperlink" Target="javascript:void(0);" TargetMode="External"/><Relationship Id="rId28" Type="http://schemas.openxmlformats.org/officeDocument/2006/relationships/hyperlink" Target="javascript:void(0);" TargetMode="External"/><Relationship Id="rId49" Type="http://schemas.openxmlformats.org/officeDocument/2006/relationships/hyperlink" Target="javascript:void(0);" TargetMode="External"/><Relationship Id="rId114" Type="http://schemas.openxmlformats.org/officeDocument/2006/relationships/hyperlink" Target="javascript:void(0);" TargetMode="External"/><Relationship Id="rId275" Type="http://schemas.openxmlformats.org/officeDocument/2006/relationships/hyperlink" Target="javascript:void(0);" TargetMode="External"/><Relationship Id="rId296" Type="http://schemas.openxmlformats.org/officeDocument/2006/relationships/hyperlink" Target="javascript:void(0);" TargetMode="External"/><Relationship Id="rId300" Type="http://schemas.openxmlformats.org/officeDocument/2006/relationships/hyperlink" Target="javascript:void(0);" TargetMode="External"/><Relationship Id="rId60" Type="http://schemas.openxmlformats.org/officeDocument/2006/relationships/hyperlink" Target="javascript:void(0);" TargetMode="External"/><Relationship Id="rId81" Type="http://schemas.openxmlformats.org/officeDocument/2006/relationships/hyperlink" Target="javascript:void(0);" TargetMode="External"/><Relationship Id="rId135" Type="http://schemas.openxmlformats.org/officeDocument/2006/relationships/hyperlink" Target="javascript:void(0);" TargetMode="External"/><Relationship Id="rId156" Type="http://schemas.openxmlformats.org/officeDocument/2006/relationships/hyperlink" Target="javascript:void(0);" TargetMode="External"/><Relationship Id="rId177" Type="http://schemas.openxmlformats.org/officeDocument/2006/relationships/hyperlink" Target="javascript:void(0);" TargetMode="External"/><Relationship Id="rId198" Type="http://schemas.openxmlformats.org/officeDocument/2006/relationships/hyperlink" Target="javascript:void(0);" TargetMode="External"/><Relationship Id="rId202" Type="http://schemas.openxmlformats.org/officeDocument/2006/relationships/hyperlink" Target="javascript:void(0);" TargetMode="External"/><Relationship Id="rId223" Type="http://schemas.openxmlformats.org/officeDocument/2006/relationships/hyperlink" Target="javascript:void(0);" TargetMode="External"/><Relationship Id="rId244" Type="http://schemas.openxmlformats.org/officeDocument/2006/relationships/hyperlink" Target="javascript:void(0);" TargetMode="External"/><Relationship Id="rId18" Type="http://schemas.openxmlformats.org/officeDocument/2006/relationships/hyperlink" Target="javascript:void(0);" TargetMode="External"/><Relationship Id="rId39" Type="http://schemas.openxmlformats.org/officeDocument/2006/relationships/hyperlink" Target="javascript:void(0);" TargetMode="External"/><Relationship Id="rId265" Type="http://schemas.openxmlformats.org/officeDocument/2006/relationships/hyperlink" Target="https://www-capitaliq-com.proxy.lib.sfu.ca/CIQDotNet/Financial/IncomeStatement.aspx?companyId=7683267&amp;statekey=ba88316dad5740b9bb1f22a6f16c0255" TargetMode="External"/><Relationship Id="rId286" Type="http://schemas.openxmlformats.org/officeDocument/2006/relationships/hyperlink" Target="javascript:void(0);" TargetMode="External"/><Relationship Id="rId50" Type="http://schemas.openxmlformats.org/officeDocument/2006/relationships/hyperlink" Target="javascript:void(0);" TargetMode="External"/><Relationship Id="rId104" Type="http://schemas.openxmlformats.org/officeDocument/2006/relationships/hyperlink" Target="javascript:void(0);" TargetMode="External"/><Relationship Id="rId125" Type="http://schemas.openxmlformats.org/officeDocument/2006/relationships/hyperlink" Target="javascript:void(0);" TargetMode="External"/><Relationship Id="rId146" Type="http://schemas.openxmlformats.org/officeDocument/2006/relationships/hyperlink" Target="javascript:void(0);" TargetMode="External"/><Relationship Id="rId167" Type="http://schemas.openxmlformats.org/officeDocument/2006/relationships/hyperlink" Target="javascript:void(0);" TargetMode="External"/><Relationship Id="rId188" Type="http://schemas.openxmlformats.org/officeDocument/2006/relationships/hyperlink" Target="javascript:void(0);" TargetMode="External"/><Relationship Id="rId71" Type="http://schemas.openxmlformats.org/officeDocument/2006/relationships/hyperlink" Target="javascript:void(0);" TargetMode="External"/><Relationship Id="rId92" Type="http://schemas.openxmlformats.org/officeDocument/2006/relationships/hyperlink" Target="javascript:void(0);" TargetMode="External"/><Relationship Id="rId213" Type="http://schemas.openxmlformats.org/officeDocument/2006/relationships/hyperlink" Target="javascript:void(0);" TargetMode="External"/><Relationship Id="rId234" Type="http://schemas.openxmlformats.org/officeDocument/2006/relationships/hyperlink" Target="javascript:void(0);" TargetMode="External"/><Relationship Id="rId2" Type="http://schemas.openxmlformats.org/officeDocument/2006/relationships/hyperlink" Target="javascript:void(0);" TargetMode="External"/><Relationship Id="rId29" Type="http://schemas.openxmlformats.org/officeDocument/2006/relationships/hyperlink" Target="javascript:void(0);" TargetMode="External"/><Relationship Id="rId255" Type="http://schemas.openxmlformats.org/officeDocument/2006/relationships/hyperlink" Target="javascript:void(0);" TargetMode="External"/><Relationship Id="rId276" Type="http://schemas.openxmlformats.org/officeDocument/2006/relationships/hyperlink" Target="javascript:void(0);" TargetMode="External"/><Relationship Id="rId297" Type="http://schemas.openxmlformats.org/officeDocument/2006/relationships/hyperlink" Target="javascript:void(0);" TargetMode="External"/><Relationship Id="rId40" Type="http://schemas.openxmlformats.org/officeDocument/2006/relationships/hyperlink" Target="javascript:void(0);" TargetMode="External"/><Relationship Id="rId115" Type="http://schemas.openxmlformats.org/officeDocument/2006/relationships/hyperlink" Target="javascript:void(0);" TargetMode="External"/><Relationship Id="rId136" Type="http://schemas.openxmlformats.org/officeDocument/2006/relationships/hyperlink" Target="javascript:void(0);" TargetMode="External"/><Relationship Id="rId157" Type="http://schemas.openxmlformats.org/officeDocument/2006/relationships/hyperlink" Target="javascript:void(0);" TargetMode="External"/><Relationship Id="rId178" Type="http://schemas.openxmlformats.org/officeDocument/2006/relationships/hyperlink" Target="javascript:void(0);" TargetMode="External"/><Relationship Id="rId301" Type="http://schemas.openxmlformats.org/officeDocument/2006/relationships/hyperlink" Target="javascript:void(0);" TargetMode="External"/><Relationship Id="rId61" Type="http://schemas.openxmlformats.org/officeDocument/2006/relationships/hyperlink" Target="javascript:void(0);" TargetMode="External"/><Relationship Id="rId82" Type="http://schemas.openxmlformats.org/officeDocument/2006/relationships/hyperlink" Target="javascript:void(0);" TargetMode="External"/><Relationship Id="rId199" Type="http://schemas.openxmlformats.org/officeDocument/2006/relationships/hyperlink" Target="javascript:void(0);" TargetMode="External"/><Relationship Id="rId203" Type="http://schemas.openxmlformats.org/officeDocument/2006/relationships/hyperlink" Target="javascript:void(0);" TargetMode="External"/><Relationship Id="rId19" Type="http://schemas.openxmlformats.org/officeDocument/2006/relationships/hyperlink" Target="javascript:void(0);" TargetMode="External"/><Relationship Id="rId224" Type="http://schemas.openxmlformats.org/officeDocument/2006/relationships/hyperlink" Target="javascript:void(0);" TargetMode="External"/><Relationship Id="rId245" Type="http://schemas.openxmlformats.org/officeDocument/2006/relationships/hyperlink" Target="javascript:void(0);" TargetMode="External"/><Relationship Id="rId266" Type="http://schemas.openxmlformats.org/officeDocument/2006/relationships/hyperlink" Target="https://www-capitaliq-com.proxy.lib.sfu.ca/CIQDotNet/Financial/IncomeStatement.aspx?companyId=7683267&amp;statekey=ba88316dad5740b9bb1f22a6f16c0255" TargetMode="External"/><Relationship Id="rId287" Type="http://schemas.openxmlformats.org/officeDocument/2006/relationships/hyperlink" Target="javascript:void(0);" TargetMode="External"/><Relationship Id="rId30" Type="http://schemas.openxmlformats.org/officeDocument/2006/relationships/hyperlink" Target="javascript:void(0);" TargetMode="External"/><Relationship Id="rId105" Type="http://schemas.openxmlformats.org/officeDocument/2006/relationships/hyperlink" Target="javascript:void(0);" TargetMode="External"/><Relationship Id="rId126" Type="http://schemas.openxmlformats.org/officeDocument/2006/relationships/hyperlink" Target="javascript:void(0);" TargetMode="External"/><Relationship Id="rId147" Type="http://schemas.openxmlformats.org/officeDocument/2006/relationships/hyperlink" Target="javascript:void(0);" TargetMode="External"/><Relationship Id="rId168" Type="http://schemas.openxmlformats.org/officeDocument/2006/relationships/hyperlink" Target="javascript:void(0);" TargetMode="External"/><Relationship Id="rId51" Type="http://schemas.openxmlformats.org/officeDocument/2006/relationships/hyperlink" Target="javascript:void(0);" TargetMode="External"/><Relationship Id="rId72" Type="http://schemas.openxmlformats.org/officeDocument/2006/relationships/hyperlink" Target="javascript:void(0);" TargetMode="External"/><Relationship Id="rId93" Type="http://schemas.openxmlformats.org/officeDocument/2006/relationships/hyperlink" Target="javascript:void(0);" TargetMode="External"/><Relationship Id="rId189" Type="http://schemas.openxmlformats.org/officeDocument/2006/relationships/hyperlink" Target="javascript:void(0);" TargetMode="External"/><Relationship Id="rId3" Type="http://schemas.openxmlformats.org/officeDocument/2006/relationships/hyperlink" Target="javascript:void(0);" TargetMode="External"/><Relationship Id="rId214" Type="http://schemas.openxmlformats.org/officeDocument/2006/relationships/hyperlink" Target="javascript:void(0);" TargetMode="External"/><Relationship Id="rId235" Type="http://schemas.openxmlformats.org/officeDocument/2006/relationships/hyperlink" Target="javascript:void(0);" TargetMode="External"/><Relationship Id="rId256" Type="http://schemas.openxmlformats.org/officeDocument/2006/relationships/hyperlink" Target="https://www-capitaliq-com.proxy.lib.sfu.ca/CIQDotNet/Financial/IncomeStatement.aspx?companyId=7683267&amp;statekey=ba88316dad5740b9bb1f22a6f16c0255" TargetMode="External"/><Relationship Id="rId277" Type="http://schemas.openxmlformats.org/officeDocument/2006/relationships/hyperlink" Target="javascript:void(0);" TargetMode="External"/><Relationship Id="rId298" Type="http://schemas.openxmlformats.org/officeDocument/2006/relationships/hyperlink" Target="javascript:void(0);" TargetMode="External"/><Relationship Id="rId116" Type="http://schemas.openxmlformats.org/officeDocument/2006/relationships/hyperlink" Target="javascript:void(0);" TargetMode="External"/><Relationship Id="rId137" Type="http://schemas.openxmlformats.org/officeDocument/2006/relationships/hyperlink" Target="javascript:void(0);" TargetMode="External"/><Relationship Id="rId158" Type="http://schemas.openxmlformats.org/officeDocument/2006/relationships/hyperlink" Target="javascript:void(0);" TargetMode="External"/><Relationship Id="rId20" Type="http://schemas.openxmlformats.org/officeDocument/2006/relationships/hyperlink" Target="javascript:void(0);" TargetMode="External"/><Relationship Id="rId41" Type="http://schemas.openxmlformats.org/officeDocument/2006/relationships/hyperlink" Target="javascript:void(0);" TargetMode="External"/><Relationship Id="rId62" Type="http://schemas.openxmlformats.org/officeDocument/2006/relationships/hyperlink" Target="javascript:void(0);" TargetMode="External"/><Relationship Id="rId83" Type="http://schemas.openxmlformats.org/officeDocument/2006/relationships/hyperlink" Target="javascript:void(0);" TargetMode="External"/><Relationship Id="rId179" Type="http://schemas.openxmlformats.org/officeDocument/2006/relationships/hyperlink" Target="javascript:void(0);" TargetMode="External"/><Relationship Id="rId190" Type="http://schemas.openxmlformats.org/officeDocument/2006/relationships/hyperlink" Target="javascript:void(0);" TargetMode="External"/><Relationship Id="rId204" Type="http://schemas.openxmlformats.org/officeDocument/2006/relationships/hyperlink" Target="javascript:void(0);" TargetMode="External"/><Relationship Id="rId225" Type="http://schemas.openxmlformats.org/officeDocument/2006/relationships/hyperlink" Target="javascript:void(0);" TargetMode="External"/><Relationship Id="rId246" Type="http://schemas.openxmlformats.org/officeDocument/2006/relationships/hyperlink" Target="javascript:void(0);" TargetMode="External"/><Relationship Id="rId267" Type="http://schemas.openxmlformats.org/officeDocument/2006/relationships/hyperlink" Target="https://www-capitaliq-com.proxy.lib.sfu.ca/CIQDotNet/Financial/IncomeStatement.aspx?companyId=7683267&amp;statekey=ba88316dad5740b9bb1f22a6f16c0255" TargetMode="External"/><Relationship Id="rId288" Type="http://schemas.openxmlformats.org/officeDocument/2006/relationships/hyperlink" Target="javascript:void(0);" TargetMode="External"/><Relationship Id="rId106" Type="http://schemas.openxmlformats.org/officeDocument/2006/relationships/hyperlink" Target="javascript:void(0);" TargetMode="External"/><Relationship Id="rId127" Type="http://schemas.openxmlformats.org/officeDocument/2006/relationships/hyperlink" Target="javascript:void(0);" TargetMode="External"/><Relationship Id="rId10" Type="http://schemas.openxmlformats.org/officeDocument/2006/relationships/hyperlink" Target="javascript:void(0);" TargetMode="External"/><Relationship Id="rId31" Type="http://schemas.openxmlformats.org/officeDocument/2006/relationships/hyperlink" Target="javascript:void(0);" TargetMode="External"/><Relationship Id="rId52" Type="http://schemas.openxmlformats.org/officeDocument/2006/relationships/hyperlink" Target="javascript:void(0);" TargetMode="External"/><Relationship Id="rId73" Type="http://schemas.openxmlformats.org/officeDocument/2006/relationships/hyperlink" Target="javascript:void(0);" TargetMode="External"/><Relationship Id="rId94" Type="http://schemas.openxmlformats.org/officeDocument/2006/relationships/hyperlink" Target="javascript:void(0);" TargetMode="External"/><Relationship Id="rId148" Type="http://schemas.openxmlformats.org/officeDocument/2006/relationships/hyperlink" Target="javascript:void(0);" TargetMode="External"/><Relationship Id="rId169" Type="http://schemas.openxmlformats.org/officeDocument/2006/relationships/hyperlink" Target="javascript:void(0);" TargetMode="External"/><Relationship Id="rId4" Type="http://schemas.openxmlformats.org/officeDocument/2006/relationships/hyperlink" Target="javascript:void(0);" TargetMode="External"/><Relationship Id="rId180" Type="http://schemas.openxmlformats.org/officeDocument/2006/relationships/hyperlink" Target="javascript:void(0);" TargetMode="External"/><Relationship Id="rId215" Type="http://schemas.openxmlformats.org/officeDocument/2006/relationships/hyperlink" Target="javascript:void(0);" TargetMode="External"/><Relationship Id="rId236" Type="http://schemas.openxmlformats.org/officeDocument/2006/relationships/hyperlink" Target="javascript:void(0);" TargetMode="External"/><Relationship Id="rId257" Type="http://schemas.openxmlformats.org/officeDocument/2006/relationships/hyperlink" Target="https://www-capitaliq-com.proxy.lib.sfu.ca/CIQDotNet/Financial/IncomeStatement.aspx?companyId=7683267&amp;statekey=ba88316dad5740b9bb1f22a6f16c0255" TargetMode="External"/><Relationship Id="rId278" Type="http://schemas.openxmlformats.org/officeDocument/2006/relationships/hyperlink" Target="javascript:void(0);" TargetMode="External"/><Relationship Id="rId42" Type="http://schemas.openxmlformats.org/officeDocument/2006/relationships/hyperlink" Target="javascript:void(0);" TargetMode="External"/><Relationship Id="rId84" Type="http://schemas.openxmlformats.org/officeDocument/2006/relationships/hyperlink" Target="javascript:void(0);" TargetMode="External"/><Relationship Id="rId138" Type="http://schemas.openxmlformats.org/officeDocument/2006/relationships/hyperlink" Target="javascript:void(0);" TargetMode="External"/><Relationship Id="rId191" Type="http://schemas.openxmlformats.org/officeDocument/2006/relationships/hyperlink" Target="javascript:void(0);" TargetMode="External"/><Relationship Id="rId205" Type="http://schemas.openxmlformats.org/officeDocument/2006/relationships/hyperlink" Target="javascript:void(0);" TargetMode="External"/><Relationship Id="rId247" Type="http://schemas.openxmlformats.org/officeDocument/2006/relationships/hyperlink" Target="javascript:void(0);" TargetMode="External"/><Relationship Id="rId107" Type="http://schemas.openxmlformats.org/officeDocument/2006/relationships/hyperlink" Target="javascript:void(0);" TargetMode="External"/><Relationship Id="rId289" Type="http://schemas.openxmlformats.org/officeDocument/2006/relationships/hyperlink" Target="javascript:void(0);" TargetMode="External"/><Relationship Id="rId11" Type="http://schemas.openxmlformats.org/officeDocument/2006/relationships/hyperlink" Target="javascript:void(0);" TargetMode="External"/><Relationship Id="rId53" Type="http://schemas.openxmlformats.org/officeDocument/2006/relationships/hyperlink" Target="javascript:void(0);" TargetMode="External"/><Relationship Id="rId149" Type="http://schemas.openxmlformats.org/officeDocument/2006/relationships/hyperlink" Target="javascript:void(0);" TargetMode="External"/><Relationship Id="rId95" Type="http://schemas.openxmlformats.org/officeDocument/2006/relationships/hyperlink" Target="javascript:void(0);" TargetMode="External"/><Relationship Id="rId160" Type="http://schemas.openxmlformats.org/officeDocument/2006/relationships/hyperlink" Target="javascript:void(0);" TargetMode="External"/><Relationship Id="rId216" Type="http://schemas.openxmlformats.org/officeDocument/2006/relationships/hyperlink" Target="javascript:void(0);" TargetMode="External"/><Relationship Id="rId258" Type="http://schemas.openxmlformats.org/officeDocument/2006/relationships/hyperlink" Target="https://www-capitaliq-com.proxy.lib.sfu.ca/CIQDotNet/Financial/IncomeStatement.aspx?companyId=7683267&amp;statekey=ba88316dad5740b9bb1f22a6f16c0255" TargetMode="External"/><Relationship Id="rId22" Type="http://schemas.openxmlformats.org/officeDocument/2006/relationships/hyperlink" Target="javascript:void(0);" TargetMode="External"/><Relationship Id="rId64" Type="http://schemas.openxmlformats.org/officeDocument/2006/relationships/hyperlink" Target="javascript:void(0);" TargetMode="External"/><Relationship Id="rId118" Type="http://schemas.openxmlformats.org/officeDocument/2006/relationships/hyperlink" Target="javascript:void(0);" TargetMode="External"/><Relationship Id="rId171" Type="http://schemas.openxmlformats.org/officeDocument/2006/relationships/hyperlink" Target="javascript:void(0);" TargetMode="External"/><Relationship Id="rId227" Type="http://schemas.openxmlformats.org/officeDocument/2006/relationships/hyperlink" Target="javascript:void(0);" TargetMode="External"/><Relationship Id="rId269" Type="http://schemas.openxmlformats.org/officeDocument/2006/relationships/hyperlink" Target="javascript:void(0);" TargetMode="External"/><Relationship Id="rId33" Type="http://schemas.openxmlformats.org/officeDocument/2006/relationships/hyperlink" Target="javascript:void(0);" TargetMode="External"/><Relationship Id="rId129" Type="http://schemas.openxmlformats.org/officeDocument/2006/relationships/hyperlink" Target="javascript:void(0);" TargetMode="External"/><Relationship Id="rId280" Type="http://schemas.openxmlformats.org/officeDocument/2006/relationships/hyperlink" Target="javascript:void(0);" TargetMode="External"/><Relationship Id="rId75" Type="http://schemas.openxmlformats.org/officeDocument/2006/relationships/hyperlink" Target="javascript:void(0);" TargetMode="External"/><Relationship Id="rId140" Type="http://schemas.openxmlformats.org/officeDocument/2006/relationships/hyperlink" Target="javascript:void(0);" TargetMode="External"/><Relationship Id="rId182" Type="http://schemas.openxmlformats.org/officeDocument/2006/relationships/hyperlink" Target="javascript:void(0);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javascript:void(0);" TargetMode="External"/><Relationship Id="rId2" Type="http://schemas.openxmlformats.org/officeDocument/2006/relationships/hyperlink" Target="javascript:void(0);" TargetMode="External"/><Relationship Id="rId1" Type="http://schemas.openxmlformats.org/officeDocument/2006/relationships/hyperlink" Target="javascript:void(0);" TargetMode="External"/><Relationship Id="rId4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"/>
  <sheetViews>
    <sheetView workbookViewId="0">
      <selection sqref="A1:F39"/>
    </sheetView>
  </sheetViews>
  <sheetFormatPr defaultColWidth="8.875" defaultRowHeight="14.1"/>
  <cols>
    <col min="1" max="1" width="38" customWidth="1"/>
    <col min="2" max="6" width="14" customWidth="1"/>
  </cols>
  <sheetData>
    <row r="1" spans="1:6" ht="20.100000000000001" customHeight="1">
      <c r="A1" s="4" t="s">
        <v>0</v>
      </c>
      <c r="B1" s="4">
        <v>2021</v>
      </c>
      <c r="C1" s="4">
        <v>2022</v>
      </c>
      <c r="D1" s="4">
        <v>2023</v>
      </c>
      <c r="E1" s="4">
        <v>2024</v>
      </c>
      <c r="F1" s="4">
        <v>2025</v>
      </c>
    </row>
    <row r="2" spans="1:6" ht="20.100000000000001" customHeight="1">
      <c r="A2" s="17" t="s">
        <v>1</v>
      </c>
      <c r="B2" s="18"/>
      <c r="C2" s="18"/>
      <c r="D2" s="18"/>
      <c r="E2" s="18"/>
      <c r="F2" s="18"/>
    </row>
    <row r="3" spans="1:6" ht="20.100000000000001" customHeight="1">
      <c r="A3" s="5" t="s">
        <v>2</v>
      </c>
      <c r="B3" s="19">
        <v>16292.1</v>
      </c>
      <c r="C3" s="19">
        <v>17810.599999999999</v>
      </c>
      <c r="D3" s="19">
        <v>16656.5</v>
      </c>
      <c r="E3" s="19">
        <v>16357.8</v>
      </c>
      <c r="F3" s="19">
        <v>16315.5</v>
      </c>
    </row>
    <row r="4" spans="1:6" ht="20.100000000000001" customHeight="1">
      <c r="A4" s="5" t="s">
        <v>3</v>
      </c>
      <c r="B4" s="19">
        <v>9794.4</v>
      </c>
      <c r="C4" s="19">
        <v>11712.7</v>
      </c>
      <c r="D4" s="19">
        <v>10952.9</v>
      </c>
      <c r="E4" s="19">
        <v>10739.1</v>
      </c>
      <c r="F4" s="19">
        <v>10700.2</v>
      </c>
    </row>
    <row r="5" spans="1:6" ht="20.100000000000001" customHeight="1">
      <c r="A5" s="5" t="s">
        <v>4</v>
      </c>
      <c r="B5" s="19">
        <v>5076.6000000000004</v>
      </c>
      <c r="C5" s="19">
        <v>6097.9</v>
      </c>
      <c r="D5" s="19">
        <v>5703.6</v>
      </c>
      <c r="E5" s="19">
        <v>5618.7</v>
      </c>
      <c r="F5" s="19">
        <v>5615.3</v>
      </c>
    </row>
    <row r="6" spans="1:6" ht="20.100000000000001" customHeight="1">
      <c r="A6" s="5" t="s">
        <v>5</v>
      </c>
      <c r="B6" s="19">
        <v>1429.6</v>
      </c>
      <c r="C6" s="19">
        <v>1814.8</v>
      </c>
      <c r="D6" s="19">
        <v>913.4</v>
      </c>
      <c r="E6" s="19">
        <v>1774.2</v>
      </c>
      <c r="F6" s="19">
        <v>1674.6</v>
      </c>
    </row>
    <row r="7" spans="1:6" ht="20.100000000000001" customHeight="1">
      <c r="A7" s="5" t="s">
        <v>6</v>
      </c>
      <c r="B7" s="19">
        <v>256.5</v>
      </c>
      <c r="C7" s="19">
        <v>231</v>
      </c>
      <c r="D7" s="19">
        <v>321.5</v>
      </c>
      <c r="E7" s="19">
        <v>349</v>
      </c>
      <c r="F7" s="19">
        <v>295.5</v>
      </c>
    </row>
    <row r="8" spans="1:6" ht="20.100000000000001" customHeight="1">
      <c r="A8" s="5" t="s">
        <v>7</v>
      </c>
      <c r="B8" s="19">
        <v>1172.0999999999999</v>
      </c>
      <c r="C8" s="19">
        <v>1583.8</v>
      </c>
      <c r="D8" s="19">
        <v>572.79999999999995</v>
      </c>
      <c r="E8" s="19">
        <v>1246</v>
      </c>
      <c r="F8" s="19">
        <v>878.5</v>
      </c>
    </row>
    <row r="9" spans="1:6" ht="20.100000000000001" customHeight="1">
      <c r="A9" s="5" t="s">
        <v>8</v>
      </c>
      <c r="B9" s="19">
        <v>309.5</v>
      </c>
      <c r="C9" s="19">
        <v>401</v>
      </c>
      <c r="D9" s="19">
        <v>233.7</v>
      </c>
      <c r="E9" s="19">
        <v>274.10000000000002</v>
      </c>
      <c r="F9" s="19">
        <v>219.5</v>
      </c>
    </row>
    <row r="10" spans="1:6" ht="20.100000000000001" customHeight="1">
      <c r="A10" s="5" t="s">
        <v>9</v>
      </c>
      <c r="B10" s="19">
        <v>1260.7</v>
      </c>
      <c r="C10" s="19">
        <v>1182.8</v>
      </c>
      <c r="D10" s="19">
        <v>339.1</v>
      </c>
      <c r="E10" s="19">
        <v>971.9</v>
      </c>
      <c r="F10" s="19">
        <v>609.70000000000005</v>
      </c>
    </row>
    <row r="11" spans="1:6" ht="20.100000000000001" customHeight="1">
      <c r="A11" s="17" t="s">
        <v>10</v>
      </c>
      <c r="B11" s="20"/>
      <c r="C11" s="20"/>
      <c r="D11" s="20"/>
      <c r="E11" s="20"/>
      <c r="F11" s="20"/>
    </row>
    <row r="12" spans="1:6" ht="20.100000000000001" customHeight="1">
      <c r="A12" s="5" t="s">
        <v>11</v>
      </c>
      <c r="B12" s="19">
        <v>1327.2</v>
      </c>
      <c r="C12" s="19">
        <v>331.3</v>
      </c>
      <c r="D12" s="19">
        <v>311.2</v>
      </c>
      <c r="E12" s="19">
        <v>475.6</v>
      </c>
      <c r="F12" s="19">
        <v>553.5</v>
      </c>
    </row>
    <row r="13" spans="1:6" ht="20.100000000000001" customHeight="1">
      <c r="A13" s="5" t="s">
        <v>12</v>
      </c>
      <c r="B13" s="19">
        <v>973.6</v>
      </c>
      <c r="C13" s="19">
        <v>1309.9000000000001</v>
      </c>
      <c r="D13" s="19">
        <v>1151.3</v>
      </c>
      <c r="E13" s="19">
        <v>1263</v>
      </c>
      <c r="F13" s="19">
        <v>1053.2</v>
      </c>
    </row>
    <row r="14" spans="1:6" ht="20.100000000000001" customHeight="1">
      <c r="A14" s="5" t="s">
        <v>13</v>
      </c>
      <c r="B14" s="19">
        <v>2312.9</v>
      </c>
      <c r="C14" s="19">
        <v>3216.1</v>
      </c>
      <c r="D14" s="19">
        <v>2693.7</v>
      </c>
      <c r="E14" s="19">
        <v>2558.3000000000002</v>
      </c>
      <c r="F14" s="19">
        <v>2417.5</v>
      </c>
    </row>
    <row r="15" spans="1:6" ht="20.100000000000001" customHeight="1">
      <c r="A15" s="5" t="s">
        <v>14</v>
      </c>
      <c r="B15" s="19">
        <v>10546.8</v>
      </c>
      <c r="C15" s="19">
        <v>11530.4</v>
      </c>
      <c r="D15" s="19">
        <v>11293.1</v>
      </c>
      <c r="E15" s="19">
        <v>11347.9</v>
      </c>
      <c r="F15" s="19">
        <v>11316.3</v>
      </c>
    </row>
    <row r="16" spans="1:6" ht="20.100000000000001" customHeight="1">
      <c r="A16" s="5" t="s">
        <v>15</v>
      </c>
      <c r="B16" s="19">
        <v>4298.2</v>
      </c>
      <c r="C16" s="19">
        <v>4994.1000000000004</v>
      </c>
      <c r="D16" s="19">
        <v>5219.5</v>
      </c>
      <c r="E16" s="19">
        <v>5394.4</v>
      </c>
      <c r="F16" s="19">
        <v>5522.8</v>
      </c>
    </row>
    <row r="17" spans="1:6" ht="20.100000000000001" customHeight="1">
      <c r="A17" s="5" t="s">
        <v>16</v>
      </c>
      <c r="B17" s="19">
        <v>889.5</v>
      </c>
      <c r="C17" s="19">
        <v>863.2</v>
      </c>
      <c r="D17" s="19">
        <v>844.8</v>
      </c>
      <c r="E17" s="19">
        <v>838.7</v>
      </c>
      <c r="F17" s="19">
        <v>491.1</v>
      </c>
    </row>
    <row r="18" spans="1:6" ht="20.100000000000001" customHeight="1">
      <c r="A18" s="5" t="s">
        <v>17</v>
      </c>
      <c r="B18" s="19">
        <v>1483.3</v>
      </c>
      <c r="C18" s="19">
        <v>1478.4</v>
      </c>
      <c r="D18" s="19">
        <v>1409.9</v>
      </c>
      <c r="E18" s="19">
        <v>1337.5</v>
      </c>
      <c r="F18" s="19">
        <v>870</v>
      </c>
    </row>
    <row r="19" spans="1:6" ht="20.100000000000001" customHeight="1">
      <c r="A19" s="5" t="s">
        <v>18</v>
      </c>
      <c r="B19" s="19">
        <v>20377.099999999999</v>
      </c>
      <c r="C19" s="19">
        <v>22102.3</v>
      </c>
      <c r="D19" s="19">
        <v>21978.3</v>
      </c>
      <c r="E19" s="19">
        <v>22240.6</v>
      </c>
      <c r="F19" s="19">
        <v>21539.8</v>
      </c>
    </row>
    <row r="20" spans="1:6" ht="20.100000000000001" customHeight="1">
      <c r="A20" s="17" t="s">
        <v>19</v>
      </c>
      <c r="B20" s="20"/>
      <c r="C20" s="20"/>
      <c r="D20" s="20"/>
      <c r="E20" s="20"/>
      <c r="F20" s="20"/>
    </row>
    <row r="21" spans="1:6" ht="20.100000000000001" customHeight="1">
      <c r="A21" s="5" t="s">
        <v>20</v>
      </c>
      <c r="B21" s="19">
        <v>2508.3000000000002</v>
      </c>
      <c r="C21" s="19">
        <v>3200.9</v>
      </c>
      <c r="D21" s="19">
        <v>2689.4</v>
      </c>
      <c r="E21" s="19">
        <v>2931.4</v>
      </c>
      <c r="F21" s="19">
        <v>2811.6</v>
      </c>
    </row>
    <row r="22" spans="1:6" ht="20.100000000000001" customHeight="1">
      <c r="A22" s="5" t="s">
        <v>21</v>
      </c>
      <c r="B22" s="19">
        <v>165.4</v>
      </c>
      <c r="C22" s="19">
        <v>576.20000000000005</v>
      </c>
      <c r="D22" s="19">
        <v>965.7</v>
      </c>
      <c r="E22" s="19">
        <v>295.8</v>
      </c>
      <c r="F22" s="19">
        <v>295.10000000000002</v>
      </c>
    </row>
    <row r="23" spans="1:6" ht="20.100000000000001" customHeight="1">
      <c r="A23" s="5" t="s">
        <v>22</v>
      </c>
      <c r="B23" s="19">
        <v>150.5</v>
      </c>
      <c r="C23" s="19">
        <v>1040.2</v>
      </c>
      <c r="D23" s="19">
        <v>560.5</v>
      </c>
      <c r="E23" s="19">
        <v>680.4</v>
      </c>
      <c r="F23" s="19">
        <v>758</v>
      </c>
    </row>
    <row r="24" spans="1:6" ht="20.100000000000001" customHeight="1">
      <c r="A24" s="5" t="s">
        <v>23</v>
      </c>
      <c r="B24" s="19">
        <v>5205.8</v>
      </c>
      <c r="C24" s="19">
        <v>7147</v>
      </c>
      <c r="D24" s="19">
        <v>6389</v>
      </c>
      <c r="E24" s="19">
        <v>6335.4</v>
      </c>
      <c r="F24" s="19">
        <v>6196.5</v>
      </c>
    </row>
    <row r="25" spans="1:6" ht="20.100000000000001" customHeight="1">
      <c r="A25" s="5" t="s">
        <v>24</v>
      </c>
      <c r="B25" s="19">
        <v>4115.7</v>
      </c>
      <c r="C25" s="19">
        <v>3217.5</v>
      </c>
      <c r="D25" s="19">
        <v>4404</v>
      </c>
      <c r="E25" s="19">
        <v>3875.5</v>
      </c>
      <c r="F25" s="19">
        <v>3617.9</v>
      </c>
    </row>
    <row r="26" spans="1:6" ht="20.100000000000001" customHeight="1">
      <c r="A26" s="5" t="s">
        <v>25</v>
      </c>
      <c r="B26" s="19">
        <v>14542.4</v>
      </c>
      <c r="C26" s="19">
        <v>15063.1</v>
      </c>
      <c r="D26" s="19">
        <v>15533.5</v>
      </c>
      <c r="E26" s="19">
        <v>15152.3</v>
      </c>
      <c r="F26" s="19">
        <v>14725.9</v>
      </c>
    </row>
    <row r="27" spans="1:6" ht="20.100000000000001" customHeight="1">
      <c r="A27" s="17" t="s">
        <v>26</v>
      </c>
      <c r="B27" s="20"/>
      <c r="C27" s="20"/>
      <c r="D27" s="20"/>
      <c r="E27" s="20"/>
      <c r="F27" s="20"/>
    </row>
    <row r="28" spans="1:6" ht="20.100000000000001" customHeight="1">
      <c r="A28" s="5" t="s">
        <v>27</v>
      </c>
      <c r="B28" s="19">
        <v>4136.8999999999996</v>
      </c>
      <c r="C28" s="19">
        <v>5070.2</v>
      </c>
      <c r="D28" s="19">
        <v>5128.2</v>
      </c>
      <c r="E28" s="19">
        <v>5614.4</v>
      </c>
      <c r="F28" s="19">
        <v>5230.3</v>
      </c>
    </row>
    <row r="29" spans="1:6" ht="20.100000000000001" customHeight="1">
      <c r="A29" s="5" t="s">
        <v>28</v>
      </c>
      <c r="B29" s="19">
        <v>4499.1000000000004</v>
      </c>
      <c r="C29" s="19">
        <v>5618.5</v>
      </c>
      <c r="D29" s="19">
        <v>5545.1</v>
      </c>
      <c r="E29" s="19">
        <v>6155</v>
      </c>
      <c r="F29" s="19">
        <v>5855.6</v>
      </c>
    </row>
    <row r="30" spans="1:6" ht="20.100000000000001" customHeight="1">
      <c r="A30" s="5" t="s">
        <v>29</v>
      </c>
      <c r="B30" s="19">
        <v>5834.7</v>
      </c>
      <c r="C30" s="19">
        <v>7039.2</v>
      </c>
      <c r="D30" s="19">
        <v>6444.8</v>
      </c>
      <c r="E30" s="19">
        <v>7088.3</v>
      </c>
      <c r="F30" s="19">
        <v>6813.9</v>
      </c>
    </row>
    <row r="31" spans="1:6" ht="20.100000000000001" customHeight="1">
      <c r="A31" s="17" t="s">
        <v>30</v>
      </c>
      <c r="B31" s="20"/>
      <c r="C31" s="20"/>
      <c r="D31" s="20"/>
      <c r="E31" s="20"/>
      <c r="F31" s="20"/>
    </row>
    <row r="32" spans="1:6" ht="20.100000000000001" customHeight="1">
      <c r="A32" s="5" t="s">
        <v>31</v>
      </c>
      <c r="B32" s="19">
        <v>2442.8000000000002</v>
      </c>
      <c r="C32" s="19">
        <v>566</v>
      </c>
      <c r="D32" s="19">
        <v>1353.7</v>
      </c>
      <c r="E32" s="19">
        <v>2063.8000000000002</v>
      </c>
      <c r="F32" s="19">
        <v>952.1</v>
      </c>
    </row>
    <row r="33" spans="1:6" ht="20.100000000000001" customHeight="1">
      <c r="A33" s="5" t="s">
        <v>32</v>
      </c>
      <c r="B33" s="19">
        <v>436.5</v>
      </c>
      <c r="C33" s="19">
        <v>834.6</v>
      </c>
      <c r="D33" s="19">
        <v>580.9</v>
      </c>
      <c r="E33" s="19">
        <v>576.29999999999995</v>
      </c>
      <c r="F33" s="19">
        <v>582</v>
      </c>
    </row>
    <row r="34" spans="1:6" ht="20.100000000000001" customHeight="1">
      <c r="A34" s="5" t="s">
        <v>33</v>
      </c>
      <c r="B34" s="19">
        <v>582.6</v>
      </c>
      <c r="C34" s="19">
        <v>621</v>
      </c>
      <c r="D34" s="19">
        <v>675.2</v>
      </c>
      <c r="E34" s="19">
        <v>664.9</v>
      </c>
      <c r="F34" s="19">
        <v>653.9</v>
      </c>
    </row>
    <row r="35" spans="1:6" ht="20.100000000000001" customHeight="1">
      <c r="A35" s="5" t="s">
        <v>34</v>
      </c>
      <c r="B35" s="19">
        <v>262.89999999999998</v>
      </c>
      <c r="C35" s="19">
        <v>325.8</v>
      </c>
      <c r="D35" s="19">
        <v>360.8</v>
      </c>
      <c r="E35" s="19">
        <v>359.8</v>
      </c>
      <c r="F35" s="19">
        <v>361.7</v>
      </c>
    </row>
    <row r="36" spans="1:6" ht="20.100000000000001" customHeight="1">
      <c r="A36" s="17" t="s">
        <v>35</v>
      </c>
      <c r="B36" s="20"/>
      <c r="C36" s="20"/>
      <c r="D36" s="20"/>
      <c r="E36" s="20"/>
      <c r="F36" s="20"/>
    </row>
    <row r="37" spans="1:6" ht="20.100000000000001" customHeight="1">
      <c r="A37" s="5" t="s">
        <v>36</v>
      </c>
      <c r="B37" s="19">
        <v>7865.5</v>
      </c>
      <c r="C37" s="19">
        <v>8997.7000000000007</v>
      </c>
      <c r="D37" s="19">
        <v>9444.5</v>
      </c>
      <c r="E37" s="19">
        <v>9770.4</v>
      </c>
      <c r="F37" s="19">
        <v>10123.6</v>
      </c>
    </row>
    <row r="38" spans="1:6" ht="20.100000000000001" customHeight="1">
      <c r="A38" s="5" t="s">
        <v>37</v>
      </c>
      <c r="B38" s="19">
        <v>3567.3</v>
      </c>
      <c r="C38" s="19">
        <v>4003.6</v>
      </c>
      <c r="D38" s="19">
        <v>4225</v>
      </c>
      <c r="E38" s="19">
        <v>4376</v>
      </c>
      <c r="F38" s="19">
        <v>4600.8</v>
      </c>
    </row>
    <row r="39" spans="1:6" ht="20.100000000000001" customHeight="1">
      <c r="A39" s="5" t="s">
        <v>38</v>
      </c>
      <c r="B39" s="19">
        <v>4298.2</v>
      </c>
      <c r="C39" s="19">
        <v>4994.1000000000004</v>
      </c>
      <c r="D39" s="19">
        <v>5219.5</v>
      </c>
      <c r="E39" s="19">
        <v>5394.4</v>
      </c>
      <c r="F39" s="19">
        <v>5522.8</v>
      </c>
    </row>
    <row r="40" spans="1:6" ht="20.100000000000001" customHeight="1">
      <c r="B40" s="1"/>
      <c r="C40" s="1"/>
      <c r="D40" s="1"/>
      <c r="E40" s="1"/>
      <c r="F40" s="1"/>
    </row>
    <row r="41" spans="1:6" ht="20.100000000000001" customHeight="1">
      <c r="B41" s="1"/>
      <c r="C41" s="1"/>
      <c r="D41" s="1"/>
      <c r="E41" s="1"/>
      <c r="F41" s="1"/>
    </row>
    <row r="42" spans="1:6" ht="20.100000000000001" customHeight="1">
      <c r="B42" s="1"/>
      <c r="C42" s="1"/>
      <c r="D42" s="1"/>
      <c r="E42" s="1"/>
      <c r="F42" s="1"/>
    </row>
    <row r="43" spans="1:6" ht="20.100000000000001" customHeight="1">
      <c r="B43" s="1"/>
      <c r="C43" s="1"/>
      <c r="D43" s="1"/>
      <c r="E43" s="1"/>
      <c r="F43" s="1"/>
    </row>
    <row r="44" spans="1:6" ht="20.100000000000001" customHeight="1">
      <c r="B44" s="1"/>
      <c r="C44" s="1"/>
      <c r="D44" s="1"/>
      <c r="E44" s="1"/>
      <c r="F44" s="1"/>
    </row>
    <row r="45" spans="1:6" ht="20.100000000000001" customHeight="1">
      <c r="B45" s="1"/>
      <c r="C45" s="1"/>
      <c r="D45" s="1"/>
      <c r="E45" s="1"/>
      <c r="F45" s="1"/>
    </row>
    <row r="46" spans="1:6" ht="20.100000000000001" customHeight="1">
      <c r="B46" s="1"/>
      <c r="C46" s="1"/>
      <c r="D46" s="1"/>
      <c r="E46" s="1"/>
      <c r="F46" s="1"/>
    </row>
    <row r="47" spans="1:6" ht="20.100000000000001" customHeight="1">
      <c r="B47" s="1"/>
      <c r="C47" s="1"/>
      <c r="D47" s="1"/>
      <c r="E47" s="1"/>
      <c r="F47" s="1"/>
    </row>
    <row r="48" spans="1:6" ht="20.100000000000001" customHeight="1">
      <c r="B48" s="1"/>
      <c r="C48" s="1"/>
      <c r="D48" s="1"/>
      <c r="E48" s="1"/>
      <c r="F48" s="1"/>
    </row>
    <row r="49" spans="2:6" ht="20.100000000000001" customHeight="1">
      <c r="B49" s="1"/>
      <c r="C49" s="1"/>
      <c r="D49" s="1"/>
      <c r="E49" s="1"/>
      <c r="F49" s="1"/>
    </row>
    <row r="50" spans="2:6" ht="20.100000000000001" customHeight="1">
      <c r="B50" s="1"/>
      <c r="C50" s="1"/>
      <c r="D50" s="1"/>
      <c r="E50" s="1"/>
      <c r="F50" s="1"/>
    </row>
    <row r="51" spans="2:6" ht="20.100000000000001" customHeight="1">
      <c r="B51" s="1"/>
      <c r="C51" s="1"/>
      <c r="D51" s="1"/>
      <c r="E51" s="1"/>
      <c r="F51" s="1"/>
    </row>
    <row r="52" spans="2:6" ht="20.100000000000001" customHeight="1">
      <c r="B52" s="1"/>
      <c r="C52" s="1"/>
      <c r="D52" s="1"/>
      <c r="E52" s="1"/>
      <c r="F52" s="1"/>
    </row>
    <row r="53" spans="2:6" ht="20.100000000000001" customHeight="1">
      <c r="B53" s="1"/>
      <c r="C53" s="1"/>
      <c r="D53" s="1"/>
      <c r="E53" s="1"/>
      <c r="F53" s="1"/>
    </row>
    <row r="54" spans="2:6" ht="20.100000000000001" customHeight="1">
      <c r="B54" s="1"/>
      <c r="C54" s="1"/>
      <c r="D54" s="1"/>
      <c r="E54" s="1"/>
      <c r="F54" s="1"/>
    </row>
    <row r="55" spans="2:6" ht="20.100000000000001" customHeight="1">
      <c r="B55" s="1"/>
      <c r="C55" s="1"/>
      <c r="D55" s="1"/>
      <c r="E55" s="1"/>
      <c r="F55" s="1"/>
    </row>
    <row r="56" spans="2:6" ht="20.100000000000001" customHeight="1">
      <c r="B56" s="1"/>
      <c r="C56" s="1"/>
      <c r="D56" s="1"/>
      <c r="E56" s="1"/>
      <c r="F56" s="1"/>
    </row>
    <row r="57" spans="2:6" ht="20.100000000000001" customHeight="1">
      <c r="B57" s="1"/>
      <c r="C57" s="1"/>
      <c r="D57" s="1"/>
      <c r="E57" s="1"/>
      <c r="F57" s="1"/>
    </row>
    <row r="58" spans="2:6" ht="20.100000000000001" customHeight="1">
      <c r="B58" s="1"/>
      <c r="C58" s="1"/>
      <c r="D58" s="1"/>
      <c r="E58" s="1"/>
      <c r="F58" s="1"/>
    </row>
    <row r="59" spans="2:6" ht="20.100000000000001" customHeight="1">
      <c r="B59" s="1"/>
      <c r="C59" s="1"/>
      <c r="D59" s="1"/>
      <c r="E59" s="1"/>
      <c r="F59" s="1"/>
    </row>
    <row r="60" spans="2:6" ht="20.100000000000001" customHeight="1">
      <c r="B60" s="1"/>
      <c r="C60" s="1"/>
      <c r="D60" s="1"/>
      <c r="E60" s="1"/>
      <c r="F60" s="1"/>
    </row>
    <row r="61" spans="2:6" ht="20.100000000000001" customHeight="1">
      <c r="B61" s="1"/>
      <c r="C61" s="1"/>
      <c r="D61" s="1"/>
      <c r="E61" s="1"/>
      <c r="F61" s="1"/>
    </row>
    <row r="62" spans="2:6" ht="20.100000000000001" customHeight="1">
      <c r="B62" s="1"/>
      <c r="C62" s="1"/>
      <c r="D62" s="1"/>
      <c r="E62" s="1"/>
      <c r="F62" s="1"/>
    </row>
    <row r="63" spans="2:6" ht="20.100000000000001" customHeight="1">
      <c r="B63" s="1"/>
      <c r="C63" s="1"/>
      <c r="D63" s="1"/>
      <c r="E63" s="1"/>
      <c r="F63" s="1"/>
    </row>
    <row r="64" spans="2:6" ht="20.100000000000001" customHeight="1">
      <c r="B64" s="1"/>
      <c r="C64" s="1"/>
      <c r="D64" s="1"/>
      <c r="E64" s="1"/>
      <c r="F64" s="1"/>
    </row>
    <row r="65" spans="2:6" ht="20.100000000000001" customHeight="1">
      <c r="B65" s="1"/>
      <c r="C65" s="1"/>
      <c r="D65" s="1"/>
      <c r="E65" s="1"/>
      <c r="F65" s="1"/>
    </row>
    <row r="66" spans="2:6" ht="20.100000000000001" customHeight="1">
      <c r="B66" s="1"/>
      <c r="C66" s="1"/>
      <c r="D66" s="1"/>
      <c r="E66" s="1"/>
      <c r="F66" s="1"/>
    </row>
    <row r="67" spans="2:6" ht="20.100000000000001" customHeight="1">
      <c r="B67" s="1"/>
      <c r="C67" s="1"/>
      <c r="D67" s="1"/>
      <c r="E67" s="1"/>
      <c r="F67" s="1"/>
    </row>
    <row r="68" spans="2:6" ht="20.100000000000001" customHeight="1">
      <c r="B68" s="1"/>
      <c r="C68" s="1"/>
      <c r="D68" s="1"/>
      <c r="E68" s="1"/>
      <c r="F68" s="1"/>
    </row>
    <row r="69" spans="2:6" ht="20.100000000000001" customHeight="1">
      <c r="B69" s="1"/>
      <c r="C69" s="1"/>
      <c r="D69" s="1"/>
      <c r="E69" s="1"/>
      <c r="F69" s="1"/>
    </row>
    <row r="70" spans="2:6" ht="20.100000000000001" customHeight="1">
      <c r="B70" s="1"/>
      <c r="C70" s="1"/>
      <c r="D70" s="1"/>
      <c r="E70" s="1"/>
      <c r="F70" s="1"/>
    </row>
    <row r="71" spans="2:6" ht="20.100000000000001" customHeight="1">
      <c r="B71" s="1"/>
      <c r="C71" s="1"/>
      <c r="D71" s="1"/>
      <c r="E71" s="1"/>
      <c r="F71" s="1"/>
    </row>
    <row r="72" spans="2:6" ht="20.100000000000001" customHeight="1">
      <c r="B72" s="1"/>
      <c r="C72" s="1"/>
      <c r="D72" s="1"/>
      <c r="E72" s="1"/>
      <c r="F72" s="1"/>
    </row>
    <row r="73" spans="2:6" ht="20.100000000000001" customHeight="1">
      <c r="B73" s="1"/>
      <c r="C73" s="1"/>
      <c r="D73" s="1"/>
      <c r="E73" s="1"/>
      <c r="F73" s="1"/>
    </row>
    <row r="74" spans="2:6" ht="20.100000000000001" customHeight="1">
      <c r="B74" s="1"/>
      <c r="C74" s="1"/>
      <c r="D74" s="1"/>
      <c r="E74" s="1"/>
      <c r="F74" s="1"/>
    </row>
    <row r="75" spans="2:6" ht="20.100000000000001" customHeight="1">
      <c r="B75" s="1"/>
      <c r="C75" s="1"/>
      <c r="D75" s="1"/>
      <c r="E75" s="1"/>
      <c r="F75" s="1"/>
    </row>
    <row r="76" spans="2:6" ht="20.100000000000001" customHeight="1">
      <c r="B76" s="1"/>
      <c r="C76" s="1"/>
      <c r="D76" s="1"/>
      <c r="E76" s="1"/>
      <c r="F76" s="1"/>
    </row>
    <row r="77" spans="2:6" ht="20.100000000000001" customHeight="1">
      <c r="B77" s="1"/>
      <c r="C77" s="1"/>
      <c r="D77" s="1"/>
      <c r="E77" s="1"/>
      <c r="F77" s="1"/>
    </row>
    <row r="78" spans="2:6" ht="20.100000000000001" customHeight="1">
      <c r="B78" s="1"/>
      <c r="C78" s="1"/>
      <c r="D78" s="1"/>
      <c r="E78" s="1"/>
      <c r="F78" s="1"/>
    </row>
    <row r="79" spans="2:6" ht="20.100000000000001" customHeight="1">
      <c r="B79" s="1"/>
      <c r="C79" s="1"/>
      <c r="D79" s="1"/>
      <c r="E79" s="1"/>
      <c r="F79" s="1"/>
    </row>
    <row r="80" spans="2:6" ht="20.100000000000001" customHeight="1">
      <c r="B80" s="1"/>
      <c r="C80" s="1"/>
      <c r="D80" s="1"/>
      <c r="E80" s="1"/>
      <c r="F80" s="1"/>
    </row>
    <row r="81" spans="2:6" ht="20.100000000000001" customHeight="1">
      <c r="B81" s="1"/>
      <c r="C81" s="1"/>
      <c r="D81" s="1"/>
      <c r="E81" s="1"/>
      <c r="F81" s="1"/>
    </row>
    <row r="82" spans="2:6" ht="20.100000000000001" customHeight="1">
      <c r="B82" s="1"/>
      <c r="C82" s="1"/>
      <c r="D82" s="1"/>
      <c r="E82" s="1"/>
      <c r="F82" s="1"/>
    </row>
    <row r="83" spans="2:6" ht="20.100000000000001" customHeight="1">
      <c r="B83" s="1"/>
      <c r="C83" s="1"/>
      <c r="D83" s="1"/>
      <c r="E83" s="1"/>
      <c r="F83" s="1"/>
    </row>
    <row r="84" spans="2:6" ht="20.100000000000001" customHeight="1">
      <c r="B84" s="1"/>
      <c r="C84" s="1"/>
      <c r="D84" s="1"/>
      <c r="E84" s="1"/>
      <c r="F84" s="1"/>
    </row>
    <row r="85" spans="2:6" ht="20.100000000000001" customHeight="1">
      <c r="B85" s="1"/>
      <c r="C85" s="1"/>
      <c r="D85" s="1"/>
      <c r="E85" s="1"/>
      <c r="F85" s="1"/>
    </row>
    <row r="86" spans="2:6" ht="20.100000000000001" customHeight="1">
      <c r="B86" s="1"/>
      <c r="C86" s="1"/>
      <c r="D86" s="1"/>
      <c r="E86" s="1"/>
      <c r="F86" s="1"/>
    </row>
    <row r="87" spans="2:6" ht="20.100000000000001" customHeight="1">
      <c r="B87" s="1"/>
      <c r="C87" s="1"/>
      <c r="D87" s="1"/>
      <c r="E87" s="1"/>
      <c r="F87" s="1"/>
    </row>
    <row r="88" spans="2:6" ht="20.100000000000001" customHeight="1">
      <c r="B88" s="1"/>
      <c r="C88" s="1"/>
      <c r="D88" s="1"/>
      <c r="E88" s="1"/>
      <c r="F88" s="1"/>
    </row>
    <row r="89" spans="2:6" ht="20.100000000000001" customHeight="1">
      <c r="B89" s="1"/>
      <c r="C89" s="1"/>
      <c r="D89" s="1"/>
      <c r="E89" s="1"/>
      <c r="F89" s="1"/>
    </row>
    <row r="90" spans="2:6" ht="20.100000000000001" customHeight="1">
      <c r="B90" s="1"/>
      <c r="C90" s="1"/>
      <c r="D90" s="1"/>
      <c r="E90" s="1"/>
      <c r="F90" s="1"/>
    </row>
    <row r="91" spans="2:6" ht="20.100000000000001" customHeight="1">
      <c r="B91" s="1"/>
      <c r="C91" s="1"/>
      <c r="D91" s="1"/>
      <c r="E91" s="1"/>
      <c r="F91" s="1"/>
    </row>
    <row r="92" spans="2:6" ht="20.100000000000001" customHeight="1">
      <c r="B92" s="1"/>
      <c r="C92" s="1"/>
      <c r="D92" s="1"/>
      <c r="E92" s="1"/>
      <c r="F92" s="1"/>
    </row>
    <row r="93" spans="2:6" ht="20.100000000000001" customHeight="1">
      <c r="B93" s="1"/>
      <c r="C93" s="1"/>
      <c r="D93" s="1"/>
      <c r="E93" s="1"/>
      <c r="F93" s="1"/>
    </row>
    <row r="94" spans="2:6" ht="20.100000000000001" customHeight="1">
      <c r="B94" s="1"/>
      <c r="C94" s="1"/>
      <c r="D94" s="1"/>
      <c r="E94" s="1"/>
      <c r="F94" s="1"/>
    </row>
    <row r="95" spans="2:6" ht="20.100000000000001" customHeight="1">
      <c r="B95" s="1"/>
      <c r="C95" s="1"/>
      <c r="D95" s="1"/>
      <c r="E95" s="1"/>
      <c r="F95" s="1"/>
    </row>
    <row r="96" spans="2:6" ht="20.100000000000001" customHeight="1">
      <c r="B96" s="1"/>
      <c r="C96" s="1"/>
      <c r="D96" s="1"/>
      <c r="E96" s="1"/>
      <c r="F96" s="1"/>
    </row>
    <row r="97" spans="2:6" ht="20.100000000000001" customHeight="1">
      <c r="B97" s="1"/>
      <c r="C97" s="1"/>
      <c r="D97" s="1"/>
      <c r="E97" s="1"/>
      <c r="F97" s="1"/>
    </row>
    <row r="98" spans="2:6" ht="20.100000000000001" customHeight="1">
      <c r="B98" s="1"/>
      <c r="C98" s="1"/>
      <c r="D98" s="1"/>
      <c r="E98" s="1"/>
      <c r="F98" s="1"/>
    </row>
    <row r="99" spans="2:6" ht="20.100000000000001" customHeight="1">
      <c r="B99" s="1"/>
      <c r="C99" s="1"/>
      <c r="D99" s="1"/>
      <c r="E99" s="1"/>
      <c r="F99" s="1"/>
    </row>
    <row r="100" spans="2:6" ht="20.100000000000001" customHeight="1">
      <c r="B100" s="1"/>
      <c r="C100" s="1"/>
      <c r="D100" s="1"/>
      <c r="E100" s="1"/>
      <c r="F10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"/>
  <sheetViews>
    <sheetView workbookViewId="0">
      <selection activeCell="J11" sqref="J11"/>
    </sheetView>
  </sheetViews>
  <sheetFormatPr defaultColWidth="8.875" defaultRowHeight="15.95"/>
  <cols>
    <col min="1" max="1" width="28" style="3" customWidth="1"/>
    <col min="2" max="6" width="14" style="7" customWidth="1"/>
    <col min="7" max="7" width="16" style="7" customWidth="1"/>
    <col min="8" max="16384" width="8.875" style="3"/>
  </cols>
  <sheetData>
    <row r="1" spans="1:7" ht="20.100000000000001" customHeight="1">
      <c r="A1" s="4" t="s">
        <v>39</v>
      </c>
      <c r="B1" s="4">
        <v>2021</v>
      </c>
      <c r="C1" s="4">
        <v>2022</v>
      </c>
      <c r="D1" s="4">
        <v>2023</v>
      </c>
      <c r="E1" s="4">
        <v>2024</v>
      </c>
      <c r="F1" s="4">
        <v>2025</v>
      </c>
      <c r="G1" s="4" t="s">
        <v>40</v>
      </c>
    </row>
    <row r="2" spans="1:7" ht="20.100000000000001" customHeight="1">
      <c r="A2" s="5" t="s">
        <v>41</v>
      </c>
      <c r="B2" s="11"/>
      <c r="C2" s="11">
        <f>IFERROR('Raw Data'!C3/'Raw Data'!B3-1,"")</f>
        <v>9.3204682023802832E-2</v>
      </c>
      <c r="D2" s="11">
        <f>IFERROR('Raw Data'!D3/'Raw Data'!C3-1,"")</f>
        <v>-6.4798490786385554E-2</v>
      </c>
      <c r="E2" s="11">
        <f>IFERROR('Raw Data'!E3/'Raw Data'!D3-1,"")</f>
        <v>-1.7932939092846656E-2</v>
      </c>
      <c r="F2" s="11">
        <f>IFERROR('Raw Data'!F3/'Raw Data'!E3-1,"")</f>
        <v>-2.5859223122913777E-3</v>
      </c>
      <c r="G2" s="8" t="s">
        <v>42</v>
      </c>
    </row>
    <row r="3" spans="1:7" ht="20.100000000000001" customHeight="1">
      <c r="A3" s="5" t="s">
        <v>43</v>
      </c>
      <c r="B3" s="11">
        <f>'Raw Data'!B5/'Raw Data'!B3</f>
        <v>0.3115988730734528</v>
      </c>
      <c r="C3" s="11">
        <f>'Raw Data'!C5/'Raw Data'!C3</f>
        <v>0.34237476558903124</v>
      </c>
      <c r="D3" s="11">
        <f>'Raw Data'!D5/'Raw Data'!D3</f>
        <v>0.34242487917629755</v>
      </c>
      <c r="E3" s="11">
        <f>'Raw Data'!E5/'Raw Data'!E3</f>
        <v>0.34348751054542787</v>
      </c>
      <c r="F3" s="11">
        <f>'Raw Data'!F5/'Raw Data'!F3</f>
        <v>0.34416965462290461</v>
      </c>
      <c r="G3" s="8" t="s">
        <v>44</v>
      </c>
    </row>
    <row r="4" spans="1:7" ht="20.100000000000001" customHeight="1">
      <c r="A4" s="5" t="s">
        <v>45</v>
      </c>
      <c r="B4" s="11">
        <f>'Raw Data'!B6/'Raw Data'!B3</f>
        <v>8.7748049668244107E-2</v>
      </c>
      <c r="C4" s="11">
        <f>'Raw Data'!C6/'Raw Data'!C3</f>
        <v>0.10189437750553042</v>
      </c>
      <c r="D4" s="11">
        <f>'Raw Data'!D6/'Raw Data'!D3</f>
        <v>5.4837450845015456E-2</v>
      </c>
      <c r="E4" s="11">
        <f>'Raw Data'!E6/'Raw Data'!E3</f>
        <v>0.10846201811979607</v>
      </c>
      <c r="F4" s="11">
        <f>'Raw Data'!F6/'Raw Data'!F3</f>
        <v>0.10263859520088259</v>
      </c>
      <c r="G4" s="8" t="s">
        <v>44</v>
      </c>
    </row>
    <row r="5" spans="1:7" ht="20.100000000000001" customHeight="1">
      <c r="A5" s="5" t="s">
        <v>46</v>
      </c>
      <c r="B5" s="11">
        <f>'Raw Data'!B10/'Raw Data'!B3</f>
        <v>7.7381061987098043E-2</v>
      </c>
      <c r="C5" s="11">
        <f>'Raw Data'!C10/'Raw Data'!C3</f>
        <v>6.640989073922271E-2</v>
      </c>
      <c r="D5" s="11">
        <f>'Raw Data'!D10/'Raw Data'!D3</f>
        <v>2.0358418635367574E-2</v>
      </c>
      <c r="E5" s="11">
        <f>'Raw Data'!E10/'Raw Data'!E3</f>
        <v>5.9415080267517635E-2</v>
      </c>
      <c r="F5" s="11">
        <f>'Raw Data'!F10/'Raw Data'!F3</f>
        <v>3.7369372682418564E-2</v>
      </c>
      <c r="G5" s="8" t="s">
        <v>44</v>
      </c>
    </row>
    <row r="6" spans="1:7" ht="20.100000000000001" customHeight="1">
      <c r="A6" s="5" t="s">
        <v>47</v>
      </c>
      <c r="B6" s="12">
        <f>'Raw Data'!B15/'Raw Data'!B24</f>
        <v>2.0259710323101152</v>
      </c>
      <c r="C6" s="12">
        <f>'Raw Data'!C15/'Raw Data'!C24</f>
        <v>1.6133202742409403</v>
      </c>
      <c r="D6" s="12">
        <f>'Raw Data'!D15/'Raw Data'!D24</f>
        <v>1.7675849115667555</v>
      </c>
      <c r="E6" s="12">
        <f>'Raw Data'!E15/'Raw Data'!E24</f>
        <v>1.7911891908956026</v>
      </c>
      <c r="F6" s="12">
        <f>'Raw Data'!F15/'Raw Data'!F24</f>
        <v>1.8262406197046719</v>
      </c>
      <c r="G6" s="8" t="s">
        <v>48</v>
      </c>
    </row>
    <row r="7" spans="1:7" ht="20.100000000000001" customHeight="1">
      <c r="A7" s="5" t="s">
        <v>49</v>
      </c>
      <c r="B7" s="12">
        <f>('Raw Data'!B12+'Raw Data'!B13)/'Raw Data'!B24</f>
        <v>0.4419685735141573</v>
      </c>
      <c r="C7" s="12">
        <f>('Raw Data'!C12+'Raw Data'!C13)/'Raw Data'!C24</f>
        <v>0.22963481180915069</v>
      </c>
      <c r="D7" s="12">
        <f>('Raw Data'!D12+'Raw Data'!D13)/'Raw Data'!D24</f>
        <v>0.2289090624510878</v>
      </c>
      <c r="E7" s="12">
        <f>('Raw Data'!E12+'Raw Data'!E13)/'Raw Data'!E24</f>
        <v>0.27442623985857245</v>
      </c>
      <c r="F7" s="12">
        <f>('Raw Data'!F12+'Raw Data'!F13)/'Raw Data'!F24</f>
        <v>0.25929153554425888</v>
      </c>
      <c r="G7" s="8" t="s">
        <v>48</v>
      </c>
    </row>
    <row r="8" spans="1:7" ht="20.100000000000001" customHeight="1">
      <c r="A8" s="5" t="s">
        <v>50</v>
      </c>
      <c r="B8" s="11">
        <f>'Raw Data'!B26/'Raw Data'!B19</f>
        <v>0.71366386777313751</v>
      </c>
      <c r="C8" s="11">
        <f>'Raw Data'!C26/'Raw Data'!C19</f>
        <v>0.68151730815345013</v>
      </c>
      <c r="D8" s="11">
        <f>'Raw Data'!D26/'Raw Data'!D19</f>
        <v>0.70676530941883586</v>
      </c>
      <c r="E8" s="11">
        <f>'Raw Data'!E26/'Raw Data'!E19</f>
        <v>0.68129007310953837</v>
      </c>
      <c r="F8" s="11">
        <f>'Raw Data'!F26/'Raw Data'!F19</f>
        <v>0.68366001541332788</v>
      </c>
      <c r="G8" s="8" t="s">
        <v>51</v>
      </c>
    </row>
    <row r="9" spans="1:7" ht="20.100000000000001" customHeight="1">
      <c r="A9" s="5" t="s">
        <v>52</v>
      </c>
      <c r="B9" s="12">
        <f>'Raw Data'!B26/'Raw Data'!B30</f>
        <v>2.4923989236807378</v>
      </c>
      <c r="C9" s="12">
        <f>'Raw Data'!C26/'Raw Data'!C30</f>
        <v>2.1398880554608479</v>
      </c>
      <c r="D9" s="12">
        <f>'Raw Data'!D26/'Raw Data'!D30</f>
        <v>2.4102377110228401</v>
      </c>
      <c r="E9" s="12">
        <f>'Raw Data'!E26/'Raw Data'!E30</f>
        <v>2.1376493658564111</v>
      </c>
      <c r="F9" s="12">
        <f>'Raw Data'!F26/'Raw Data'!F30</f>
        <v>2.1611558725546312</v>
      </c>
      <c r="G9" s="8" t="s">
        <v>51</v>
      </c>
    </row>
    <row r="10" spans="1:7" ht="20.100000000000001" customHeight="1">
      <c r="A10" s="5" t="s">
        <v>53</v>
      </c>
      <c r="B10" s="11"/>
      <c r="C10" s="11">
        <f>'Raw Data'!C10/AVERAGE('Raw Data'!B19,'Raw Data'!C19)</f>
        <v>5.5688168853609048E-2</v>
      </c>
      <c r="D10" s="11">
        <f>'Raw Data'!D10/AVERAGE('Raw Data'!C19,'Raw Data'!D19)</f>
        <v>1.5385453011075169E-2</v>
      </c>
      <c r="E10" s="11">
        <f>'Raw Data'!E10/AVERAGE('Raw Data'!D19,'Raw Data'!E19)</f>
        <v>4.395857879775391E-2</v>
      </c>
      <c r="F10" s="11">
        <f>'Raw Data'!F10/AVERAGE('Raw Data'!E19,'Raw Data'!F19)</f>
        <v>2.7852646389708642E-2</v>
      </c>
      <c r="G10" s="8" t="s">
        <v>44</v>
      </c>
    </row>
    <row r="11" spans="1:7" ht="20.100000000000001" customHeight="1">
      <c r="A11" s="5" t="s">
        <v>54</v>
      </c>
      <c r="B11" s="11"/>
      <c r="C11" s="11">
        <f>'Raw Data'!C10/AVERAGE('Raw Data'!B30,'Raw Data'!C30)</f>
        <v>0.18375162149775903</v>
      </c>
      <c r="D11" s="11">
        <f>'Raw Data'!D10/AVERAGE('Raw Data'!C30,'Raw Data'!D30)</f>
        <v>5.0296647878967669E-2</v>
      </c>
      <c r="E11" s="11">
        <f>'Raw Data'!E10/AVERAGE('Raw Data'!D30,'Raw Data'!E30)</f>
        <v>0.14363301830327124</v>
      </c>
      <c r="F11" s="11">
        <f>'Raw Data'!F10/AVERAGE('Raw Data'!E30,'Raw Data'!F30)</f>
        <v>8.7712736113708625E-2</v>
      </c>
      <c r="G11" s="8" t="s">
        <v>44</v>
      </c>
    </row>
    <row r="12" spans="1:7" ht="20.100000000000001" customHeight="1">
      <c r="A12" s="5" t="s">
        <v>55</v>
      </c>
      <c r="B12" s="12"/>
      <c r="C12" s="12">
        <f>'Raw Data'!C3/AVERAGE('Raw Data'!B19,'Raw Data'!C19)</f>
        <v>0.83855233360169878</v>
      </c>
      <c r="D12" s="12">
        <f>'Raw Data'!D3/AVERAGE('Raw Data'!C19,'Raw Data'!D19)</f>
        <v>0.75572927773215426</v>
      </c>
      <c r="E12" s="12">
        <f>'Raw Data'!E3/AVERAGE('Raw Data'!D19,'Raw Data'!E19)</f>
        <v>0.73985558211533986</v>
      </c>
      <c r="F12" s="12">
        <f>'Raw Data'!F3/AVERAGE('Raw Data'!E19,'Raw Data'!F19)</f>
        <v>0.74533352824551635</v>
      </c>
      <c r="G12" s="8" t="s">
        <v>56</v>
      </c>
    </row>
    <row r="13" spans="1:7" ht="20.100000000000001" customHeight="1">
      <c r="A13" s="5" t="s">
        <v>57</v>
      </c>
      <c r="B13" s="12"/>
      <c r="C13" s="12">
        <f>'Raw Data'!C4/AVERAGE('Raw Data'!B14,'Raw Data'!C14)</f>
        <v>4.2368240188099113</v>
      </c>
      <c r="D13" s="12">
        <f>'Raw Data'!D4/AVERAGE('Raw Data'!C14,'Raw Data'!D14)</f>
        <v>3.7066905817455753</v>
      </c>
      <c r="E13" s="12">
        <f>'Raw Data'!E4/AVERAGE('Raw Data'!D14,'Raw Data'!E14)</f>
        <v>4.08952779893374</v>
      </c>
      <c r="F13" s="12">
        <f>'Raw Data'!F4/AVERAGE('Raw Data'!E14,'Raw Data'!F14)</f>
        <v>4.300896338277262</v>
      </c>
      <c r="G13" s="8" t="s">
        <v>56</v>
      </c>
    </row>
    <row r="14" spans="1:7" ht="20.100000000000001" customHeight="1">
      <c r="A14" s="5" t="s">
        <v>58</v>
      </c>
      <c r="B14" s="12">
        <f>'Raw Data'!B32/'Raw Data'!B10</f>
        <v>1.9376536844610137</v>
      </c>
      <c r="C14" s="12">
        <f>'Raw Data'!C32/'Raw Data'!C10</f>
        <v>0.47852553263442682</v>
      </c>
      <c r="D14" s="12">
        <f>'Raw Data'!D32/'Raw Data'!D10</f>
        <v>3.9920377469772927</v>
      </c>
      <c r="E14" s="12">
        <f>'Raw Data'!E32/'Raw Data'!E10</f>
        <v>2.1234694927461675</v>
      </c>
      <c r="F14" s="12">
        <f>'Raw Data'!F32/'Raw Data'!F10</f>
        <v>1.5615876660652779</v>
      </c>
      <c r="G14" s="8" t="s">
        <v>59</v>
      </c>
    </row>
    <row r="15" spans="1:7" ht="20.100000000000001" customHeight="1">
      <c r="A15" s="5" t="s">
        <v>60</v>
      </c>
      <c r="B15" s="13">
        <f>'Raw Data'!B32-'Raw Data'!B33</f>
        <v>2006.3000000000002</v>
      </c>
      <c r="C15" s="13">
        <f>'Raw Data'!C32-'Raw Data'!C33</f>
        <v>-268.60000000000002</v>
      </c>
      <c r="D15" s="13">
        <f>'Raw Data'!D32-'Raw Data'!D33</f>
        <v>772.80000000000007</v>
      </c>
      <c r="E15" s="13">
        <f>'Raw Data'!E32-'Raw Data'!E33</f>
        <v>1487.5000000000002</v>
      </c>
      <c r="F15" s="13">
        <f>'Raw Data'!F32-'Raw Data'!F33</f>
        <v>370.1</v>
      </c>
      <c r="G15" s="8" t="s">
        <v>59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0"/>
  <sheetViews>
    <sheetView workbookViewId="0">
      <selection activeCell="I9" sqref="I9"/>
    </sheetView>
  </sheetViews>
  <sheetFormatPr defaultColWidth="8.875" defaultRowHeight="15.95"/>
  <cols>
    <col min="1" max="1" width="34" style="3" customWidth="1"/>
    <col min="2" max="6" width="14" style="7" customWidth="1"/>
    <col min="7" max="16384" width="8.875" style="3"/>
  </cols>
  <sheetData>
    <row r="1" spans="1:6" ht="20.100000000000001" customHeight="1">
      <c r="A1" s="4" t="s">
        <v>61</v>
      </c>
      <c r="B1" s="4">
        <v>2021</v>
      </c>
      <c r="C1" s="4">
        <v>2022</v>
      </c>
      <c r="D1" s="4">
        <v>2023</v>
      </c>
      <c r="E1" s="4">
        <v>2024</v>
      </c>
      <c r="F1" s="4">
        <v>2025</v>
      </c>
    </row>
    <row r="2" spans="1:6" ht="20.100000000000001" customHeight="1">
      <c r="A2" s="5" t="s">
        <v>2</v>
      </c>
      <c r="B2" s="11"/>
      <c r="C2" s="14">
        <f>IFERROR('Raw Data'!C3/'Raw Data'!B3-1,"")</f>
        <v>9.3204682023802832E-2</v>
      </c>
      <c r="D2" s="14">
        <f>IFERROR('Raw Data'!D3/'Raw Data'!C3-1,"")</f>
        <v>-6.4798490786385554E-2</v>
      </c>
      <c r="E2" s="14">
        <f>IFERROR('Raw Data'!E3/'Raw Data'!D3-1,"")</f>
        <v>-1.7932939092846656E-2</v>
      </c>
      <c r="F2" s="14">
        <f>IFERROR('Raw Data'!F3/'Raw Data'!E3-1,"")</f>
        <v>-2.5859223122913777E-3</v>
      </c>
    </row>
    <row r="3" spans="1:6" ht="20.100000000000001" customHeight="1">
      <c r="A3" s="5" t="s">
        <v>4</v>
      </c>
      <c r="B3" s="11"/>
      <c r="C3" s="14">
        <f>IFERROR('Raw Data'!C5/'Raw Data'!B5-1,"")</f>
        <v>0.20117795374857161</v>
      </c>
      <c r="D3" s="14">
        <f>IFERROR('Raw Data'!D5/'Raw Data'!C5-1,"")</f>
        <v>-6.4661604814772233E-2</v>
      </c>
      <c r="E3" s="14">
        <f>IFERROR('Raw Data'!E5/'Raw Data'!D5-1,"")</f>
        <v>-1.4885335577530023E-2</v>
      </c>
      <c r="F3" s="14">
        <f>IFERROR('Raw Data'!F5/'Raw Data'!E5-1,"")</f>
        <v>-6.0512218128738748E-4</v>
      </c>
    </row>
    <row r="4" spans="1:6" ht="20.100000000000001" customHeight="1">
      <c r="A4" s="5" t="s">
        <v>5</v>
      </c>
      <c r="B4" s="11"/>
      <c r="C4" s="14">
        <f>IFERROR('Raw Data'!C6/'Raw Data'!B6-1,"")</f>
        <v>0.26944599888080578</v>
      </c>
      <c r="D4" s="14">
        <f>IFERROR('Raw Data'!D6/'Raw Data'!C6-1,"")</f>
        <v>-0.4966938505620454</v>
      </c>
      <c r="E4" s="14">
        <f>IFERROR('Raw Data'!E6/'Raw Data'!D6-1,"")</f>
        <v>0.94241296255747775</v>
      </c>
      <c r="F4" s="14">
        <f>IFERROR('Raw Data'!F6/'Raw Data'!E6-1,"")</f>
        <v>-5.6137977680081219E-2</v>
      </c>
    </row>
    <row r="5" spans="1:6" ht="20.100000000000001" customHeight="1">
      <c r="A5" s="5" t="s">
        <v>9</v>
      </c>
      <c r="B5" s="11"/>
      <c r="C5" s="14">
        <f>IFERROR('Raw Data'!C10/'Raw Data'!B10-1,"")</f>
        <v>-6.1791068454033593E-2</v>
      </c>
      <c r="D5" s="14">
        <f>IFERROR('Raw Data'!D10/'Raw Data'!C10-1,"")</f>
        <v>-0.71330740615488675</v>
      </c>
      <c r="E5" s="14">
        <f>IFERROR('Raw Data'!E10/'Raw Data'!D10-1,"")</f>
        <v>1.8661161899144791</v>
      </c>
      <c r="F5" s="14">
        <f>IFERROR('Raw Data'!F10/'Raw Data'!E10-1,"")</f>
        <v>-0.3726720856055149</v>
      </c>
    </row>
    <row r="6" spans="1:6" ht="20.100000000000001" customHeight="1">
      <c r="A6" s="5" t="s">
        <v>18</v>
      </c>
      <c r="B6" s="11"/>
      <c r="C6" s="14">
        <f>IFERROR('Raw Data'!C19/'Raw Data'!B19-1,"")</f>
        <v>8.4663666566881401E-2</v>
      </c>
      <c r="D6" s="14">
        <f>IFERROR('Raw Data'!D19/'Raw Data'!C19-1,"")</f>
        <v>-5.6102758536441533E-3</v>
      </c>
      <c r="E6" s="14">
        <f>IFERROR('Raw Data'!E19/'Raw Data'!D19-1,"")</f>
        <v>1.1934499028587231E-2</v>
      </c>
      <c r="F6" s="14">
        <f>IFERROR('Raw Data'!F19/'Raw Data'!E19-1,"")</f>
        <v>-3.1509941278562548E-2</v>
      </c>
    </row>
    <row r="7" spans="1:6" ht="20.100000000000001" customHeight="1">
      <c r="A7" s="5" t="s">
        <v>25</v>
      </c>
      <c r="B7" s="11"/>
      <c r="C7" s="14">
        <f>IFERROR('Raw Data'!C26/'Raw Data'!B26-1,"")</f>
        <v>3.5805644185278984E-2</v>
      </c>
      <c r="D7" s="14">
        <f>IFERROR('Raw Data'!D26/'Raw Data'!C26-1,"")</f>
        <v>3.1228631556585285E-2</v>
      </c>
      <c r="E7" s="14">
        <f>IFERROR('Raw Data'!E26/'Raw Data'!D26-1,"")</f>
        <v>-2.4540509222004125E-2</v>
      </c>
      <c r="F7" s="14">
        <f>IFERROR('Raw Data'!F26/'Raw Data'!E26-1,"")</f>
        <v>-2.8140942299188842E-2</v>
      </c>
    </row>
    <row r="8" spans="1:6" ht="20.100000000000001" customHeight="1">
      <c r="A8" s="5" t="s">
        <v>29</v>
      </c>
      <c r="B8" s="11"/>
      <c r="C8" s="14">
        <f>IFERROR('Raw Data'!C30/'Raw Data'!B30-1,"")</f>
        <v>0.20643734896395705</v>
      </c>
      <c r="D8" s="14">
        <f>IFERROR('Raw Data'!D30/'Raw Data'!C30-1,"")</f>
        <v>-8.4441413797022302E-2</v>
      </c>
      <c r="E8" s="14">
        <f>IFERROR('Raw Data'!E30/'Raw Data'!D30-1,"")</f>
        <v>9.9847939424031695E-2</v>
      </c>
      <c r="F8" s="14">
        <f>IFERROR('Raw Data'!F30/'Raw Data'!E30-1,"")</f>
        <v>-3.8711679810391808E-2</v>
      </c>
    </row>
    <row r="9" spans="1:6" ht="20.100000000000001" customHeight="1">
      <c r="A9" s="5" t="s">
        <v>13</v>
      </c>
      <c r="B9" s="11"/>
      <c r="C9" s="14">
        <f>IFERROR('Raw Data'!C14/'Raw Data'!B14-1,"")</f>
        <v>0.39050542608846017</v>
      </c>
      <c r="D9" s="14">
        <f>IFERROR('Raw Data'!D14/'Raw Data'!C14-1,"")</f>
        <v>-0.16243276017536767</v>
      </c>
      <c r="E9" s="14">
        <f>IFERROR('Raw Data'!E14/'Raw Data'!D14-1,"")</f>
        <v>-5.0265434161190781E-2</v>
      </c>
      <c r="F9" s="14">
        <f>IFERROR('Raw Data'!F14/'Raw Data'!E14-1,"")</f>
        <v>-5.5036547707462025E-2</v>
      </c>
    </row>
    <row r="10" spans="1:6" ht="20.100000000000001" customHeight="1">
      <c r="A10" s="5" t="s">
        <v>31</v>
      </c>
      <c r="B10" s="11"/>
      <c r="C10" s="14">
        <f>IFERROR('Raw Data'!C32/'Raw Data'!B32-1,"")</f>
        <v>-0.76829867365318494</v>
      </c>
      <c r="D10" s="14">
        <f>IFERROR('Raw Data'!D32/'Raw Data'!C32-1,"")</f>
        <v>1.3916961130742052</v>
      </c>
      <c r="E10" s="14">
        <f>IFERROR('Raw Data'!E32/'Raw Data'!D32-1,"")</f>
        <v>0.5245623107039965</v>
      </c>
      <c r="F10" s="14">
        <f>IFERROR('Raw Data'!F32/'Raw Data'!E32-1,"")</f>
        <v>-0.53866653745517978</v>
      </c>
    </row>
    <row r="11" spans="1:6" ht="20.100000000000001" customHeight="1">
      <c r="A11" s="5" t="s">
        <v>36</v>
      </c>
      <c r="B11" s="11"/>
      <c r="C11" s="14">
        <f>IFERROR('Raw Data'!C37/'Raw Data'!B37-1,"")</f>
        <v>0.14394507660034339</v>
      </c>
      <c r="D11" s="14">
        <f>IFERROR('Raw Data'!D37/'Raw Data'!C37-1,"")</f>
        <v>4.9657134601064579E-2</v>
      </c>
      <c r="E11" s="14">
        <f>IFERROR('Raw Data'!E37/'Raw Data'!D37-1,"")</f>
        <v>3.4506855842024509E-2</v>
      </c>
      <c r="F11" s="14">
        <f>IFERROR('Raw Data'!F37/'Raw Data'!E37-1,"")</f>
        <v>3.6150004093998378E-2</v>
      </c>
    </row>
    <row r="12" spans="1:6" ht="20.100000000000001" customHeight="1">
      <c r="A12" s="5" t="s">
        <v>38</v>
      </c>
      <c r="B12" s="11"/>
      <c r="C12" s="14">
        <f>IFERROR('Raw Data'!C39/'Raw Data'!B39-1,"")</f>
        <v>0.16190498348145743</v>
      </c>
      <c r="D12" s="14">
        <f>IFERROR('Raw Data'!D39/'Raw Data'!C39-1,"")</f>
        <v>4.513325724354722E-2</v>
      </c>
      <c r="E12" s="14">
        <f>IFERROR('Raw Data'!E39/'Raw Data'!D39-1,"")</f>
        <v>3.350895679662802E-2</v>
      </c>
      <c r="F12" s="14">
        <f>IFERROR('Raw Data'!F39/'Raw Data'!E39-1,"")</f>
        <v>2.3802461812249875E-2</v>
      </c>
    </row>
    <row r="13" spans="1:6" ht="20.100000000000001" customHeight="1">
      <c r="B13" s="15"/>
      <c r="C13" s="15"/>
      <c r="D13" s="15"/>
      <c r="E13" s="15"/>
      <c r="F13" s="15"/>
    </row>
    <row r="14" spans="1:6" ht="20.100000000000001" customHeight="1">
      <c r="B14" s="15"/>
      <c r="C14" s="15"/>
      <c r="D14" s="15"/>
      <c r="E14" s="15"/>
      <c r="F14" s="15"/>
    </row>
    <row r="15" spans="1:6" ht="20.100000000000001" customHeight="1">
      <c r="B15" s="15"/>
      <c r="C15" s="15"/>
      <c r="D15" s="15"/>
      <c r="E15" s="15"/>
      <c r="F15" s="15"/>
    </row>
    <row r="16" spans="1:6" ht="20.100000000000001" customHeight="1">
      <c r="B16" s="15"/>
      <c r="C16" s="15"/>
      <c r="D16" s="15"/>
      <c r="E16" s="15"/>
      <c r="F16" s="15"/>
    </row>
    <row r="17" spans="2:6" ht="20.100000000000001" customHeight="1">
      <c r="B17" s="15"/>
      <c r="C17" s="15"/>
      <c r="D17" s="15"/>
      <c r="E17" s="15"/>
      <c r="F17" s="15"/>
    </row>
    <row r="18" spans="2:6" ht="20.100000000000001" customHeight="1">
      <c r="B18" s="15"/>
      <c r="C18" s="15"/>
      <c r="D18" s="15"/>
      <c r="E18" s="15"/>
      <c r="F18" s="15"/>
    </row>
    <row r="19" spans="2:6" ht="20.100000000000001" customHeight="1">
      <c r="B19" s="15"/>
      <c r="C19" s="15"/>
      <c r="D19" s="15"/>
      <c r="E19" s="15"/>
      <c r="F19" s="15"/>
    </row>
    <row r="20" spans="2:6" ht="20.100000000000001" customHeight="1">
      <c r="B20" s="15"/>
      <c r="C20" s="15"/>
      <c r="D20" s="15"/>
      <c r="E20" s="15"/>
      <c r="F20" s="15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9"/>
  <sheetViews>
    <sheetView workbookViewId="0">
      <selection sqref="A1:F9"/>
    </sheetView>
  </sheetViews>
  <sheetFormatPr defaultColWidth="8.875" defaultRowHeight="14.1"/>
  <cols>
    <col min="1" max="1" width="38" customWidth="1"/>
    <col min="2" max="6" width="14" style="2" customWidth="1"/>
  </cols>
  <sheetData>
    <row r="1" spans="1:6" ht="20.100000000000001" customHeight="1">
      <c r="A1" s="4" t="s">
        <v>61</v>
      </c>
      <c r="B1" s="4">
        <v>2021</v>
      </c>
      <c r="C1" s="4">
        <v>2022</v>
      </c>
      <c r="D1" s="4">
        <v>2023</v>
      </c>
      <c r="E1" s="4">
        <v>2024</v>
      </c>
      <c r="F1" s="4">
        <v>2025</v>
      </c>
    </row>
    <row r="2" spans="1:6" ht="20.100000000000001" customHeight="1">
      <c r="A2" s="5" t="s">
        <v>2</v>
      </c>
      <c r="B2" s="11">
        <f>'Raw Data'!B3/'Raw Data'!B3</f>
        <v>1</v>
      </c>
      <c r="C2" s="11">
        <f>'Raw Data'!C3/'Raw Data'!C3</f>
        <v>1</v>
      </c>
      <c r="D2" s="11">
        <f>'Raw Data'!D3/'Raw Data'!D3</f>
        <v>1</v>
      </c>
      <c r="E2" s="11">
        <f>'Raw Data'!E3/'Raw Data'!E3</f>
        <v>1</v>
      </c>
      <c r="F2" s="11">
        <f>'Raw Data'!F3/'Raw Data'!F3</f>
        <v>1</v>
      </c>
    </row>
    <row r="3" spans="1:6" ht="20.100000000000001" customHeight="1">
      <c r="A3" s="5" t="s">
        <v>3</v>
      </c>
      <c r="B3" s="11">
        <f>'Raw Data'!B4/'Raw Data'!B3</f>
        <v>0.60117480251164668</v>
      </c>
      <c r="C3" s="11">
        <f>'Raw Data'!C4/'Raw Data'!C3</f>
        <v>0.65762523441096887</v>
      </c>
      <c r="D3" s="11">
        <f>'Raw Data'!D4/'Raw Data'!D3</f>
        <v>0.6575751208237024</v>
      </c>
      <c r="E3" s="11">
        <f>'Raw Data'!E4/'Raw Data'!E3</f>
        <v>0.65651248945457219</v>
      </c>
      <c r="F3" s="11">
        <f>'Raw Data'!F4/'Raw Data'!F3</f>
        <v>0.65583034537709539</v>
      </c>
    </row>
    <row r="4" spans="1:6" ht="20.100000000000001" customHeight="1">
      <c r="A4" s="5" t="s">
        <v>4</v>
      </c>
      <c r="B4" s="11">
        <f>'Raw Data'!B5/'Raw Data'!B3</f>
        <v>0.3115988730734528</v>
      </c>
      <c r="C4" s="11">
        <f>'Raw Data'!C5/'Raw Data'!C3</f>
        <v>0.34237476558903124</v>
      </c>
      <c r="D4" s="11">
        <f>'Raw Data'!D5/'Raw Data'!D3</f>
        <v>0.34242487917629755</v>
      </c>
      <c r="E4" s="11">
        <f>'Raw Data'!E5/'Raw Data'!E3</f>
        <v>0.34348751054542787</v>
      </c>
      <c r="F4" s="11">
        <f>'Raw Data'!F5/'Raw Data'!F3</f>
        <v>0.34416965462290461</v>
      </c>
    </row>
    <row r="5" spans="1:6" ht="20.100000000000001" customHeight="1">
      <c r="A5" s="5" t="s">
        <v>5</v>
      </c>
      <c r="B5" s="11">
        <f>'Raw Data'!B6/'Raw Data'!B3</f>
        <v>8.7748049668244107E-2</v>
      </c>
      <c r="C5" s="11">
        <f>'Raw Data'!C6/'Raw Data'!C3</f>
        <v>0.10189437750553042</v>
      </c>
      <c r="D5" s="11">
        <f>'Raw Data'!D6/'Raw Data'!D3</f>
        <v>5.4837450845015456E-2</v>
      </c>
      <c r="E5" s="11">
        <f>'Raw Data'!E6/'Raw Data'!E3</f>
        <v>0.10846201811979607</v>
      </c>
      <c r="F5" s="11">
        <f>'Raw Data'!F6/'Raw Data'!F3</f>
        <v>0.10263859520088259</v>
      </c>
    </row>
    <row r="6" spans="1:6" ht="20.100000000000001" customHeight="1">
      <c r="A6" s="5" t="s">
        <v>6</v>
      </c>
      <c r="B6" s="11">
        <f>'Raw Data'!B7/'Raw Data'!B3</f>
        <v>1.5743826762664111E-2</v>
      </c>
      <c r="C6" s="11">
        <f>'Raw Data'!C7/'Raw Data'!C3</f>
        <v>1.2969804498444747E-2</v>
      </c>
      <c r="D6" s="11">
        <f>'Raw Data'!D7/'Raw Data'!D3</f>
        <v>1.9301774082190137E-2</v>
      </c>
      <c r="E6" s="11">
        <f>'Raw Data'!E7/'Raw Data'!E3</f>
        <v>2.1335387399283524E-2</v>
      </c>
      <c r="F6" s="11">
        <f>'Raw Data'!F7/'Raw Data'!F3</f>
        <v>1.8111611657626182E-2</v>
      </c>
    </row>
    <row r="7" spans="1:6" ht="20.100000000000001" customHeight="1">
      <c r="A7" s="5" t="s">
        <v>7</v>
      </c>
      <c r="B7" s="11">
        <f>'Raw Data'!B8/'Raw Data'!B3</f>
        <v>7.1942843464010156E-2</v>
      </c>
      <c r="C7" s="11">
        <f>'Raw Data'!C8/'Raw Data'!C3</f>
        <v>8.8924573007085672E-2</v>
      </c>
      <c r="D7" s="11">
        <f>'Raw Data'!D8/'Raw Data'!D3</f>
        <v>3.438897727613844E-2</v>
      </c>
      <c r="E7" s="11">
        <f>'Raw Data'!E8/'Raw Data'!E3</f>
        <v>7.6171612319505075E-2</v>
      </c>
      <c r="F7" s="11">
        <f>'Raw Data'!F8/'Raw Data'!F3</f>
        <v>5.3844503692807452E-2</v>
      </c>
    </row>
    <row r="8" spans="1:6" ht="20.100000000000001" customHeight="1">
      <c r="A8" s="5" t="s">
        <v>8</v>
      </c>
      <c r="B8" s="11">
        <f>'Raw Data'!B9/'Raw Data'!B3</f>
        <v>1.8996937165865663E-2</v>
      </c>
      <c r="C8" s="11">
        <f>'Raw Data'!C9/'Raw Data'!C3</f>
        <v>2.2514682267862959E-2</v>
      </c>
      <c r="D8" s="11">
        <f>'Raw Data'!D9/'Raw Data'!D3</f>
        <v>1.4030558640770869E-2</v>
      </c>
      <c r="E8" s="11">
        <f>'Raw Data'!E9/'Raw Data'!E3</f>
        <v>1.6756532051987433E-2</v>
      </c>
      <c r="F8" s="11">
        <f>'Raw Data'!F9/'Raw Data'!F3</f>
        <v>1.3453464496950753E-2</v>
      </c>
    </row>
    <row r="9" spans="1:6" ht="20.100000000000001" customHeight="1">
      <c r="A9" s="5" t="s">
        <v>9</v>
      </c>
      <c r="B9" s="11">
        <f>'Raw Data'!B10/'Raw Data'!B3</f>
        <v>7.7381061987098043E-2</v>
      </c>
      <c r="C9" s="11">
        <f>'Raw Data'!C10/'Raw Data'!C3</f>
        <v>6.640989073922271E-2</v>
      </c>
      <c r="D9" s="11">
        <f>'Raw Data'!D10/'Raw Data'!D3</f>
        <v>2.0358418635367574E-2</v>
      </c>
      <c r="E9" s="11">
        <f>'Raw Data'!E10/'Raw Data'!E3</f>
        <v>5.9415080267517635E-2</v>
      </c>
      <c r="F9" s="11">
        <f>'Raw Data'!F10/'Raw Data'!F3</f>
        <v>3.7369372682418564E-2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8"/>
  <sheetViews>
    <sheetView workbookViewId="0">
      <selection activeCell="I7" sqref="I7"/>
    </sheetView>
  </sheetViews>
  <sheetFormatPr defaultColWidth="8.875" defaultRowHeight="14.1"/>
  <cols>
    <col min="1" max="1" width="36" customWidth="1"/>
    <col min="2" max="6" width="14" style="2" customWidth="1"/>
  </cols>
  <sheetData>
    <row r="1" spans="1:6" ht="20.100000000000001" customHeight="1">
      <c r="A1" s="4" t="s">
        <v>62</v>
      </c>
      <c r="B1" s="4">
        <v>2021</v>
      </c>
      <c r="C1" s="4">
        <v>2022</v>
      </c>
      <c r="D1" s="4">
        <v>2023</v>
      </c>
      <c r="E1" s="4">
        <v>2024</v>
      </c>
      <c r="F1" s="4">
        <v>2025</v>
      </c>
    </row>
    <row r="2" spans="1:6" ht="20.100000000000001" customHeight="1">
      <c r="A2" s="5" t="s">
        <v>36</v>
      </c>
      <c r="B2" s="13">
        <f>'Raw Data'!B37</f>
        <v>7865.5</v>
      </c>
      <c r="C2" s="13">
        <f>'Raw Data'!C37</f>
        <v>8997.7000000000007</v>
      </c>
      <c r="D2" s="13">
        <f>'Raw Data'!D37</f>
        <v>9444.5</v>
      </c>
      <c r="E2" s="13">
        <f>'Raw Data'!E37</f>
        <v>9770.4</v>
      </c>
      <c r="F2" s="13">
        <f>'Raw Data'!F37</f>
        <v>10123.6</v>
      </c>
    </row>
    <row r="3" spans="1:6" ht="20.100000000000001" customHeight="1">
      <c r="A3" s="5" t="s">
        <v>37</v>
      </c>
      <c r="B3" s="13">
        <f>'Raw Data'!B38</f>
        <v>3567.3</v>
      </c>
      <c r="C3" s="13">
        <f>'Raw Data'!C38</f>
        <v>4003.6</v>
      </c>
      <c r="D3" s="13">
        <f>'Raw Data'!D38</f>
        <v>4225</v>
      </c>
      <c r="E3" s="13">
        <f>'Raw Data'!E38</f>
        <v>4376</v>
      </c>
      <c r="F3" s="13">
        <f>'Raw Data'!F38</f>
        <v>4600.8</v>
      </c>
    </row>
    <row r="4" spans="1:6" ht="20.100000000000001" customHeight="1">
      <c r="A4" s="5" t="s">
        <v>38</v>
      </c>
      <c r="B4" s="13">
        <f>'Raw Data'!B39</f>
        <v>4298.2</v>
      </c>
      <c r="C4" s="13">
        <f>'Raw Data'!C39</f>
        <v>4994.1000000000004</v>
      </c>
      <c r="D4" s="13">
        <f>'Raw Data'!D39</f>
        <v>5219.5</v>
      </c>
      <c r="E4" s="13">
        <f>'Raw Data'!E39</f>
        <v>5394.4</v>
      </c>
      <c r="F4" s="13">
        <f>'Raw Data'!F39</f>
        <v>5522.8</v>
      </c>
    </row>
    <row r="5" spans="1:6" ht="20.100000000000001" customHeight="1">
      <c r="A5" s="5" t="s">
        <v>63</v>
      </c>
      <c r="B5" s="11">
        <f>'Raw Data'!B39/'Raw Data'!B19</f>
        <v>0.21093286090758745</v>
      </c>
      <c r="C5" s="11">
        <f>'Raw Data'!C39/'Raw Data'!C19</f>
        <v>0.22595386000551981</v>
      </c>
      <c r="D5" s="11">
        <f>'Raw Data'!D39/'Raw Data'!D19</f>
        <v>0.23748424582429034</v>
      </c>
      <c r="E5" s="11">
        <f>'Raw Data'!E39/'Raw Data'!E19</f>
        <v>0.24254741328920981</v>
      </c>
      <c r="F5" s="11">
        <f>'Raw Data'!F39/'Raw Data'!F19</f>
        <v>0.25639978087076021</v>
      </c>
    </row>
    <row r="6" spans="1:6" ht="20.100000000000001" customHeight="1">
      <c r="A6" s="5" t="s">
        <v>64</v>
      </c>
      <c r="B6" s="11">
        <f>'Raw Data'!B38/'Raw Data'!B37</f>
        <v>0.45353760091539003</v>
      </c>
      <c r="C6" s="11">
        <f>'Raw Data'!C38/'Raw Data'!C37</f>
        <v>0.4449581559731931</v>
      </c>
      <c r="D6" s="11">
        <f>'Raw Data'!D38/'Raw Data'!D37</f>
        <v>0.44735030970406059</v>
      </c>
      <c r="E6" s="11">
        <f>'Raw Data'!E38/'Raw Data'!E37</f>
        <v>0.44788340293130274</v>
      </c>
      <c r="F6" s="11">
        <f>'Raw Data'!F38/'Raw Data'!F37</f>
        <v>0.45446283930617565</v>
      </c>
    </row>
    <row r="7" spans="1:6" ht="20.100000000000001" customHeight="1">
      <c r="A7" s="5" t="s">
        <v>65</v>
      </c>
      <c r="B7" s="11">
        <f>'Raw Data'!B33/'Raw Data'!B3</f>
        <v>2.6792126245235422E-2</v>
      </c>
      <c r="C7" s="11">
        <f>'Raw Data'!C33/'Raw Data'!C3</f>
        <v>4.6859735213861414E-2</v>
      </c>
      <c r="D7" s="11">
        <f>'Raw Data'!D33/'Raw Data'!D3</f>
        <v>3.4875273917089424E-2</v>
      </c>
      <c r="E7" s="11">
        <f>'Raw Data'!E33/'Raw Data'!E3</f>
        <v>3.5230899020650699E-2</v>
      </c>
      <c r="F7" s="11">
        <f>'Raw Data'!F33/'Raw Data'!F3</f>
        <v>3.5671600625172384E-2</v>
      </c>
    </row>
    <row r="8" spans="1:6" ht="20.100000000000001" customHeight="1">
      <c r="A8" s="5" t="s">
        <v>66</v>
      </c>
      <c r="B8" s="11">
        <f>'Raw Data'!B34/'Raw Data'!B37</f>
        <v>7.4070307037060579E-2</v>
      </c>
      <c r="C8" s="11">
        <f>'Raw Data'!C34/'Raw Data'!C37</f>
        <v>6.9017637840781534E-2</v>
      </c>
      <c r="D8" s="11">
        <f>'Raw Data'!D34/'Raw Data'!D37</f>
        <v>7.1491344168563717E-2</v>
      </c>
      <c r="E8" s="11">
        <f>'Raw Data'!E34/'Raw Data'!E37</f>
        <v>6.8052485056906573E-2</v>
      </c>
      <c r="F8" s="11">
        <f>'Raw Data'!F34/'Raw Data'!F37</f>
        <v>6.459164724011221E-2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2"/>
  <sheetViews>
    <sheetView topLeftCell="A20" workbookViewId="0">
      <selection activeCell="D16" sqref="D16"/>
    </sheetView>
  </sheetViews>
  <sheetFormatPr defaultColWidth="8.875" defaultRowHeight="14.1"/>
  <cols>
    <col min="1" max="1" width="32" customWidth="1"/>
    <col min="2" max="6" width="14" customWidth="1"/>
  </cols>
  <sheetData>
    <row r="1" spans="1:8" ht="22.35" customHeight="1">
      <c r="A1" s="114" t="s">
        <v>67</v>
      </c>
      <c r="B1" s="115"/>
      <c r="C1" s="115"/>
      <c r="D1" s="115"/>
      <c r="E1" s="115"/>
      <c r="F1" s="115"/>
      <c r="G1" s="115"/>
      <c r="H1" s="115"/>
    </row>
    <row r="3" spans="1:8" s="2" customFormat="1" ht="20.100000000000001" customHeight="1">
      <c r="A3" s="16" t="s">
        <v>68</v>
      </c>
      <c r="B3" s="16">
        <v>2021</v>
      </c>
      <c r="C3" s="16">
        <v>2022</v>
      </c>
      <c r="D3" s="16">
        <v>2023</v>
      </c>
      <c r="E3" s="16">
        <v>2024</v>
      </c>
      <c r="F3" s="16">
        <v>2025</v>
      </c>
    </row>
    <row r="4" spans="1:8" ht="20.100000000000001" customHeight="1">
      <c r="A4" s="5" t="s">
        <v>2</v>
      </c>
      <c r="B4" s="10">
        <f>'Raw Data'!B3</f>
        <v>16292.1</v>
      </c>
      <c r="C4" s="10">
        <f>'Raw Data'!C3</f>
        <v>17810.599999999999</v>
      </c>
      <c r="D4" s="10">
        <f>'Raw Data'!D3</f>
        <v>16656.5</v>
      </c>
      <c r="E4" s="10">
        <f>'Raw Data'!E3</f>
        <v>16357.8</v>
      </c>
      <c r="F4" s="10">
        <f>'Raw Data'!F3</f>
        <v>16315.5</v>
      </c>
    </row>
    <row r="5" spans="1:8" ht="20.100000000000001" customHeight="1">
      <c r="A5" s="5" t="s">
        <v>9</v>
      </c>
      <c r="B5" s="10">
        <f>'Raw Data'!B10</f>
        <v>1260.7</v>
      </c>
      <c r="C5" s="10">
        <f>'Raw Data'!C10</f>
        <v>1182.8</v>
      </c>
      <c r="D5" s="10">
        <f>'Raw Data'!D10</f>
        <v>339.1</v>
      </c>
      <c r="E5" s="10">
        <f>'Raw Data'!E10</f>
        <v>971.9</v>
      </c>
      <c r="F5" s="10">
        <f>'Raw Data'!F10</f>
        <v>609.70000000000005</v>
      </c>
    </row>
    <row r="6" spans="1:8" ht="20.100000000000001" customHeight="1">
      <c r="A6" s="5" t="s">
        <v>31</v>
      </c>
      <c r="B6" s="10">
        <f>'Raw Data'!B32</f>
        <v>2442.8000000000002</v>
      </c>
      <c r="C6" s="10">
        <f>'Raw Data'!C32</f>
        <v>566</v>
      </c>
      <c r="D6" s="10">
        <f>'Raw Data'!D32</f>
        <v>1353.7</v>
      </c>
      <c r="E6" s="10">
        <f>'Raw Data'!E32</f>
        <v>2063.8000000000002</v>
      </c>
      <c r="F6" s="10">
        <f>'Raw Data'!F32</f>
        <v>952.1</v>
      </c>
    </row>
    <row r="7" spans="1:8" ht="20.100000000000001" customHeight="1">
      <c r="A7" s="5" t="s">
        <v>18</v>
      </c>
      <c r="B7" s="10">
        <f>'Raw Data'!B19</f>
        <v>20377.099999999999</v>
      </c>
      <c r="C7" s="10">
        <f>'Raw Data'!C19</f>
        <v>22102.3</v>
      </c>
      <c r="D7" s="10">
        <f>'Raw Data'!D19</f>
        <v>21978.3</v>
      </c>
      <c r="E7" s="10">
        <f>'Raw Data'!E19</f>
        <v>22240.6</v>
      </c>
      <c r="F7" s="10">
        <f>'Raw Data'!F19</f>
        <v>21539.8</v>
      </c>
    </row>
    <row r="8" spans="1:8" ht="20.100000000000001" customHeight="1">
      <c r="A8" s="5" t="s">
        <v>25</v>
      </c>
      <c r="B8" s="10">
        <f>'Raw Data'!B26</f>
        <v>14542.4</v>
      </c>
      <c r="C8" s="10">
        <f>'Raw Data'!C26</f>
        <v>15063.1</v>
      </c>
      <c r="D8" s="10">
        <f>'Raw Data'!D26</f>
        <v>15533.5</v>
      </c>
      <c r="E8" s="10">
        <f>'Raw Data'!E26</f>
        <v>15152.3</v>
      </c>
      <c r="F8" s="10">
        <f>'Raw Data'!F26</f>
        <v>14725.9</v>
      </c>
    </row>
    <row r="9" spans="1:8" ht="20.100000000000001" customHeight="1">
      <c r="A9" s="5" t="s">
        <v>43</v>
      </c>
      <c r="B9" s="6">
        <f>Ratios!B3</f>
        <v>0.3115988730734528</v>
      </c>
      <c r="C9" s="6">
        <f>Ratios!C3</f>
        <v>0.34237476558903124</v>
      </c>
      <c r="D9" s="6">
        <f>Ratios!D3</f>
        <v>0.34242487917629755</v>
      </c>
      <c r="E9" s="6">
        <f>Ratios!E3</f>
        <v>0.34348751054542787</v>
      </c>
      <c r="F9" s="6">
        <f>Ratios!F3</f>
        <v>0.34416965462290461</v>
      </c>
    </row>
    <row r="10" spans="1:8" ht="20.100000000000001" customHeight="1">
      <c r="A10" s="5" t="s">
        <v>46</v>
      </c>
      <c r="B10" s="6">
        <f>Ratios!B5</f>
        <v>7.7381061987098043E-2</v>
      </c>
      <c r="C10" s="6">
        <f>Ratios!C5</f>
        <v>6.640989073922271E-2</v>
      </c>
      <c r="D10" s="6">
        <f>Ratios!D5</f>
        <v>2.0358418635367574E-2</v>
      </c>
      <c r="E10" s="6">
        <f>Ratios!E5</f>
        <v>5.9415080267517635E-2</v>
      </c>
      <c r="F10" s="6">
        <f>Ratios!F5</f>
        <v>3.7369372682418564E-2</v>
      </c>
    </row>
    <row r="11" spans="1:8" ht="20.100000000000001" customHeight="1">
      <c r="A11" s="5" t="s">
        <v>47</v>
      </c>
      <c r="B11" s="9">
        <f>Ratios!B6</f>
        <v>2.0259710323101152</v>
      </c>
      <c r="C11" s="9">
        <f>Ratios!C6</f>
        <v>1.6133202742409403</v>
      </c>
      <c r="D11" s="9">
        <f>Ratios!D6</f>
        <v>1.7675849115667555</v>
      </c>
      <c r="E11" s="9">
        <f>Ratios!E6</f>
        <v>1.7911891908956026</v>
      </c>
      <c r="F11" s="9">
        <f>Ratios!F6</f>
        <v>1.8262406197046719</v>
      </c>
    </row>
    <row r="12" spans="1:8" ht="20.100000000000001" customHeight="1">
      <c r="A12" s="5" t="s">
        <v>50</v>
      </c>
      <c r="B12" s="9">
        <f>Ratios!B8</f>
        <v>0.71366386777313751</v>
      </c>
      <c r="C12" s="9">
        <f>Ratios!C8</f>
        <v>0.68151730815345013</v>
      </c>
      <c r="D12" s="9">
        <f>Ratios!D8</f>
        <v>0.70676530941883586</v>
      </c>
      <c r="E12" s="9">
        <f>Ratios!E8</f>
        <v>0.68129007310953837</v>
      </c>
      <c r="F12" s="9">
        <f>Ratios!F8</f>
        <v>0.68366001541332788</v>
      </c>
    </row>
  </sheetData>
  <mergeCells count="1">
    <mergeCell ref="A1:H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60BB9-AE1C-47ED-974B-D6B8CB1545A5}">
  <dimension ref="A1:N100"/>
  <sheetViews>
    <sheetView topLeftCell="A45" workbookViewId="0">
      <selection activeCell="Q74" sqref="Q74"/>
    </sheetView>
  </sheetViews>
  <sheetFormatPr defaultRowHeight="14.25"/>
  <cols>
    <col min="14" max="14" width="17.875" customWidth="1"/>
  </cols>
  <sheetData>
    <row r="1" spans="1:14" ht="57.75">
      <c r="A1" s="21" t="s">
        <v>69</v>
      </c>
      <c r="B1" s="21"/>
      <c r="C1" s="21"/>
      <c r="D1" s="22" t="s">
        <v>70</v>
      </c>
      <c r="E1" s="23" t="s">
        <v>71</v>
      </c>
      <c r="F1" s="22" t="s">
        <v>72</v>
      </c>
      <c r="G1" s="23" t="s">
        <v>71</v>
      </c>
      <c r="H1" s="22" t="s">
        <v>73</v>
      </c>
      <c r="I1" s="23" t="s">
        <v>71</v>
      </c>
      <c r="J1" s="24" t="s">
        <v>74</v>
      </c>
      <c r="K1" s="23" t="s">
        <v>71</v>
      </c>
      <c r="L1" s="22" t="s">
        <v>75</v>
      </c>
      <c r="M1" s="23" t="s">
        <v>71</v>
      </c>
      <c r="N1" s="22" t="s">
        <v>76</v>
      </c>
    </row>
    <row r="2" spans="1:14">
      <c r="A2" s="25"/>
      <c r="B2" s="26" t="s">
        <v>77</v>
      </c>
      <c r="C2" s="27"/>
      <c r="D2" s="26" t="s">
        <v>78</v>
      </c>
      <c r="E2" s="27"/>
      <c r="F2" s="26" t="s">
        <v>78</v>
      </c>
      <c r="G2" s="27"/>
      <c r="H2" s="26" t="s">
        <v>78</v>
      </c>
      <c r="I2" s="27"/>
      <c r="J2" s="26" t="s">
        <v>78</v>
      </c>
      <c r="K2" s="27"/>
      <c r="L2" s="26" t="s">
        <v>78</v>
      </c>
      <c r="M2" s="27"/>
      <c r="N2" s="28" t="s">
        <v>78</v>
      </c>
    </row>
    <row r="3" spans="1:14">
      <c r="A3" s="25"/>
      <c r="B3" s="29" t="s">
        <v>79</v>
      </c>
      <c r="C3" s="27"/>
      <c r="D3" s="30"/>
      <c r="E3" s="27"/>
      <c r="F3" s="30"/>
      <c r="G3" s="27"/>
      <c r="H3" s="30"/>
      <c r="I3" s="27"/>
      <c r="J3" s="30"/>
      <c r="K3" s="27"/>
      <c r="L3" s="30"/>
      <c r="M3" s="27"/>
      <c r="N3" s="31"/>
    </row>
    <row r="4" spans="1:14">
      <c r="A4" s="32"/>
      <c r="B4" s="33"/>
      <c r="C4" s="34"/>
      <c r="D4" s="35">
        <v>890.5</v>
      </c>
      <c r="E4" s="36"/>
      <c r="F4" s="35">
        <v>812.3</v>
      </c>
      <c r="G4" s="36"/>
      <c r="H4" s="35">
        <v>221.3</v>
      </c>
      <c r="I4" s="36"/>
      <c r="J4" s="35">
        <v>260</v>
      </c>
      <c r="K4" s="36"/>
      <c r="L4" s="35">
        <v>285</v>
      </c>
      <c r="M4" s="36"/>
      <c r="N4" s="37">
        <v>291</v>
      </c>
    </row>
    <row r="5" spans="1:14">
      <c r="A5" s="38"/>
      <c r="B5" s="39" t="s">
        <v>80</v>
      </c>
      <c r="C5" s="40"/>
      <c r="D5" s="41"/>
      <c r="E5" s="42"/>
      <c r="F5" s="41"/>
      <c r="G5" s="42"/>
      <c r="H5" s="41"/>
      <c r="I5" s="42"/>
      <c r="J5" s="41"/>
      <c r="K5" s="42"/>
      <c r="L5" s="41"/>
      <c r="M5" s="42"/>
      <c r="N5" s="43"/>
    </row>
    <row r="6" spans="1:14">
      <c r="A6" s="32"/>
      <c r="B6" s="33"/>
      <c r="C6" s="34"/>
      <c r="D6" s="44"/>
      <c r="E6" s="36"/>
      <c r="F6" s="44"/>
      <c r="G6" s="36"/>
      <c r="H6" s="44"/>
      <c r="I6" s="36"/>
      <c r="J6" s="44"/>
      <c r="K6" s="36"/>
      <c r="L6" s="44"/>
      <c r="M6" s="36"/>
      <c r="N6" s="45"/>
    </row>
    <row r="7" spans="1:14">
      <c r="A7" s="38"/>
      <c r="B7" s="46" t="s">
        <v>81</v>
      </c>
      <c r="C7" s="40"/>
      <c r="D7" s="47">
        <v>890.5</v>
      </c>
      <c r="E7" s="42"/>
      <c r="F7" s="47">
        <v>812.3</v>
      </c>
      <c r="G7" s="42"/>
      <c r="H7" s="47">
        <v>221.3</v>
      </c>
      <c r="I7" s="42"/>
      <c r="J7" s="47">
        <v>260</v>
      </c>
      <c r="K7" s="42"/>
      <c r="L7" s="47">
        <v>285</v>
      </c>
      <c r="M7" s="42"/>
      <c r="N7" s="48">
        <v>291</v>
      </c>
    </row>
    <row r="8" spans="1:14">
      <c r="A8" s="25"/>
      <c r="B8" s="30"/>
      <c r="C8" s="27"/>
      <c r="D8" s="49"/>
      <c r="E8" s="50"/>
      <c r="F8" s="49"/>
      <c r="G8" s="50"/>
      <c r="H8" s="49"/>
      <c r="I8" s="50"/>
      <c r="J8" s="49"/>
      <c r="K8" s="50"/>
      <c r="L8" s="49"/>
      <c r="M8" s="50"/>
      <c r="N8" s="51"/>
    </row>
    <row r="9" spans="1:14">
      <c r="A9" s="32"/>
      <c r="B9" s="33"/>
      <c r="C9" s="34"/>
      <c r="D9" s="35">
        <v>638</v>
      </c>
      <c r="E9" s="36"/>
      <c r="F9" s="35">
        <v>632.6</v>
      </c>
      <c r="G9" s="36"/>
      <c r="H9" s="35">
        <v>768.6</v>
      </c>
      <c r="I9" s="36"/>
      <c r="J9" s="35">
        <v>793</v>
      </c>
      <c r="K9" s="36"/>
      <c r="L9" s="35">
        <v>789</v>
      </c>
      <c r="M9" s="36"/>
      <c r="N9" s="37">
        <v>838</v>
      </c>
    </row>
    <row r="10" spans="1:14">
      <c r="A10" s="38"/>
      <c r="B10" s="39" t="s">
        <v>82</v>
      </c>
      <c r="C10" s="40"/>
      <c r="D10" s="41"/>
      <c r="E10" s="42"/>
      <c r="F10" s="41"/>
      <c r="G10" s="42"/>
      <c r="H10" s="41"/>
      <c r="I10" s="42"/>
      <c r="J10" s="41"/>
      <c r="K10" s="42"/>
      <c r="L10" s="41"/>
      <c r="M10" s="42"/>
      <c r="N10" s="43"/>
    </row>
    <row r="11" spans="1:14">
      <c r="A11" s="32"/>
      <c r="B11" s="33"/>
      <c r="C11" s="34"/>
      <c r="D11" s="35">
        <v>60.5</v>
      </c>
      <c r="E11" s="36"/>
      <c r="F11" s="35">
        <v>48.7</v>
      </c>
      <c r="G11" s="36"/>
      <c r="H11" s="35">
        <v>90.8</v>
      </c>
      <c r="I11" s="36"/>
      <c r="J11" s="35">
        <v>70</v>
      </c>
      <c r="K11" s="36"/>
      <c r="L11" s="35">
        <v>54</v>
      </c>
      <c r="M11" s="36"/>
      <c r="N11" s="37">
        <v>138</v>
      </c>
    </row>
    <row r="12" spans="1:14">
      <c r="A12" s="38"/>
      <c r="B12" s="39" t="s">
        <v>83</v>
      </c>
      <c r="C12" s="40"/>
      <c r="D12" s="41"/>
      <c r="E12" s="42"/>
      <c r="F12" s="41"/>
      <c r="G12" s="42"/>
      <c r="H12" s="41"/>
      <c r="I12" s="42"/>
      <c r="J12" s="41"/>
      <c r="K12" s="42"/>
      <c r="L12" s="41"/>
      <c r="M12" s="42"/>
      <c r="N12" s="43"/>
    </row>
    <row r="13" spans="1:14">
      <c r="A13" s="32"/>
      <c r="B13" s="33"/>
      <c r="C13" s="34"/>
      <c r="D13" s="44"/>
      <c r="E13" s="36"/>
      <c r="F13" s="44"/>
      <c r="G13" s="36"/>
      <c r="H13" s="44"/>
      <c r="I13" s="36"/>
      <c r="J13" s="44"/>
      <c r="K13" s="36"/>
      <c r="L13" s="44"/>
      <c r="M13" s="36"/>
      <c r="N13" s="45"/>
    </row>
    <row r="14" spans="1:14">
      <c r="A14" s="38"/>
      <c r="B14" s="46" t="s">
        <v>84</v>
      </c>
      <c r="C14" s="40"/>
      <c r="D14" s="47">
        <v>698.5</v>
      </c>
      <c r="E14" s="42"/>
      <c r="F14" s="47">
        <v>681.3</v>
      </c>
      <c r="G14" s="42"/>
      <c r="H14" s="47">
        <v>859.4</v>
      </c>
      <c r="I14" s="42"/>
      <c r="J14" s="47">
        <v>863</v>
      </c>
      <c r="K14" s="42"/>
      <c r="L14" s="47">
        <v>843</v>
      </c>
      <c r="M14" s="42"/>
      <c r="N14" s="48">
        <v>976</v>
      </c>
    </row>
    <row r="15" spans="1:14">
      <c r="A15" s="25"/>
      <c r="B15" s="30"/>
      <c r="C15" s="27"/>
      <c r="D15" s="49"/>
      <c r="E15" s="50"/>
      <c r="F15" s="49"/>
      <c r="G15" s="50"/>
      <c r="H15" s="49"/>
      <c r="I15" s="50"/>
      <c r="J15" s="49"/>
      <c r="K15" s="50"/>
      <c r="L15" s="49"/>
      <c r="M15" s="50"/>
      <c r="N15" s="51"/>
    </row>
    <row r="16" spans="1:14">
      <c r="A16" s="32"/>
      <c r="B16" s="33"/>
      <c r="C16" s="34"/>
      <c r="D16" s="52">
        <v>1500.1</v>
      </c>
      <c r="E16" s="36"/>
      <c r="F16" s="52">
        <v>1591.5</v>
      </c>
      <c r="G16" s="36"/>
      <c r="H16" s="52">
        <v>1743.3</v>
      </c>
      <c r="I16" s="36"/>
      <c r="J16" s="52">
        <v>1772</v>
      </c>
      <c r="K16" s="36"/>
      <c r="L16" s="52">
        <v>1833</v>
      </c>
      <c r="M16" s="36"/>
      <c r="N16" s="53">
        <v>1919</v>
      </c>
    </row>
    <row r="17" spans="1:14">
      <c r="A17" s="38"/>
      <c r="B17" s="39" t="s">
        <v>13</v>
      </c>
      <c r="C17" s="40"/>
      <c r="D17" s="41"/>
      <c r="E17" s="42"/>
      <c r="F17" s="41"/>
      <c r="G17" s="42"/>
      <c r="H17" s="41"/>
      <c r="I17" s="42"/>
      <c r="J17" s="41"/>
      <c r="K17" s="42"/>
      <c r="L17" s="41"/>
      <c r="M17" s="42"/>
      <c r="N17" s="43"/>
    </row>
    <row r="18" spans="1:14">
      <c r="A18" s="32"/>
      <c r="B18" s="33"/>
      <c r="C18" s="34"/>
      <c r="D18" s="35">
        <v>101</v>
      </c>
      <c r="E18" s="36"/>
      <c r="F18" s="35">
        <v>127.6</v>
      </c>
      <c r="G18" s="36"/>
      <c r="H18" s="35">
        <v>131</v>
      </c>
      <c r="I18" s="36"/>
      <c r="J18" s="35">
        <v>162</v>
      </c>
      <c r="K18" s="36"/>
      <c r="L18" s="35">
        <v>173</v>
      </c>
      <c r="M18" s="36"/>
      <c r="N18" s="37">
        <v>204</v>
      </c>
    </row>
    <row r="19" spans="1:14">
      <c r="A19" s="38"/>
      <c r="B19" s="39" t="s">
        <v>85</v>
      </c>
      <c r="C19" s="40"/>
      <c r="D19" s="41"/>
      <c r="E19" s="42"/>
      <c r="F19" s="41"/>
      <c r="G19" s="42"/>
      <c r="H19" s="41"/>
      <c r="I19" s="42"/>
      <c r="J19" s="41"/>
      <c r="K19" s="42"/>
      <c r="L19" s="41"/>
      <c r="M19" s="42"/>
      <c r="N19" s="43"/>
    </row>
    <row r="20" spans="1:14">
      <c r="A20" s="32"/>
      <c r="B20" s="33"/>
      <c r="C20" s="34"/>
      <c r="D20" s="35">
        <v>3.4</v>
      </c>
      <c r="E20" s="36"/>
      <c r="F20" s="55" t="s">
        <v>86</v>
      </c>
      <c r="G20" s="36"/>
      <c r="H20" s="55" t="s">
        <v>86</v>
      </c>
      <c r="I20" s="36"/>
      <c r="J20" s="35">
        <v>47</v>
      </c>
      <c r="K20" s="36"/>
      <c r="L20" s="55" t="s">
        <v>86</v>
      </c>
      <c r="M20" s="36"/>
      <c r="N20" s="57" t="s">
        <v>86</v>
      </c>
    </row>
    <row r="21" spans="1:14">
      <c r="A21" s="38"/>
      <c r="B21" s="39" t="s">
        <v>87</v>
      </c>
      <c r="C21" s="40"/>
      <c r="D21" s="41"/>
      <c r="E21" s="42"/>
      <c r="F21" s="41"/>
      <c r="G21" s="42"/>
      <c r="H21" s="41"/>
      <c r="I21" s="42"/>
      <c r="J21" s="41"/>
      <c r="K21" s="42"/>
      <c r="L21" s="41"/>
      <c r="M21" s="42"/>
      <c r="N21" s="43"/>
    </row>
    <row r="22" spans="1:14">
      <c r="A22" s="32"/>
      <c r="B22" s="33"/>
      <c r="C22" s="34"/>
      <c r="D22" s="44"/>
      <c r="E22" s="36"/>
      <c r="F22" s="44"/>
      <c r="G22" s="36"/>
      <c r="H22" s="44"/>
      <c r="I22" s="36"/>
      <c r="J22" s="44"/>
      <c r="K22" s="36"/>
      <c r="L22" s="44"/>
      <c r="M22" s="36"/>
      <c r="N22" s="45"/>
    </row>
    <row r="23" spans="1:14">
      <c r="A23" s="38"/>
      <c r="B23" s="46" t="s">
        <v>14</v>
      </c>
      <c r="C23" s="40"/>
      <c r="D23" s="58">
        <v>3193.5</v>
      </c>
      <c r="E23" s="42"/>
      <c r="F23" s="58">
        <v>3212.7</v>
      </c>
      <c r="G23" s="42"/>
      <c r="H23" s="58">
        <v>2955</v>
      </c>
      <c r="I23" s="42"/>
      <c r="J23" s="58">
        <v>3104</v>
      </c>
      <c r="K23" s="42"/>
      <c r="L23" s="58">
        <v>3134</v>
      </c>
      <c r="M23" s="42"/>
      <c r="N23" s="59">
        <v>3390</v>
      </c>
    </row>
    <row r="24" spans="1:14">
      <c r="A24" s="25"/>
      <c r="B24" s="30"/>
      <c r="C24" s="27"/>
      <c r="D24" s="49"/>
      <c r="E24" s="50"/>
      <c r="F24" s="49"/>
      <c r="G24" s="50"/>
      <c r="H24" s="49"/>
      <c r="I24" s="50"/>
      <c r="J24" s="49"/>
      <c r="K24" s="50"/>
      <c r="L24" s="49"/>
      <c r="M24" s="50"/>
      <c r="N24" s="51"/>
    </row>
    <row r="25" spans="1:14">
      <c r="A25" s="32"/>
      <c r="B25" s="33"/>
      <c r="C25" s="34"/>
      <c r="D25" s="52">
        <v>10195</v>
      </c>
      <c r="E25" s="36"/>
      <c r="F25" s="52">
        <v>10807.2</v>
      </c>
      <c r="G25" s="36"/>
      <c r="H25" s="52">
        <v>10974.8</v>
      </c>
      <c r="I25" s="36"/>
      <c r="J25" s="52">
        <v>11388</v>
      </c>
      <c r="K25" s="36"/>
      <c r="L25" s="52">
        <v>11756</v>
      </c>
      <c r="M25" s="36"/>
      <c r="N25" s="53">
        <v>11809</v>
      </c>
    </row>
    <row r="26" spans="1:14">
      <c r="A26" s="38"/>
      <c r="B26" s="39" t="s">
        <v>88</v>
      </c>
      <c r="C26" s="40"/>
      <c r="D26" s="41"/>
      <c r="E26" s="42"/>
      <c r="F26" s="41"/>
      <c r="G26" s="42"/>
      <c r="H26" s="41"/>
      <c r="I26" s="42"/>
      <c r="J26" s="41"/>
      <c r="K26" s="42"/>
      <c r="L26" s="41"/>
      <c r="M26" s="42"/>
      <c r="N26" s="43"/>
    </row>
    <row r="27" spans="1:14">
      <c r="A27" s="32"/>
      <c r="B27" s="33"/>
      <c r="C27" s="34"/>
      <c r="D27" s="52">
        <v>-2538.5</v>
      </c>
      <c r="E27" s="36"/>
      <c r="F27" s="52">
        <v>-2648.3</v>
      </c>
      <c r="G27" s="36"/>
      <c r="H27" s="52">
        <v>-2775.8</v>
      </c>
      <c r="I27" s="36"/>
      <c r="J27" s="52">
        <v>-2905</v>
      </c>
      <c r="K27" s="36"/>
      <c r="L27" s="52">
        <v>-3117</v>
      </c>
      <c r="M27" s="36"/>
      <c r="N27" s="53">
        <v>-3388</v>
      </c>
    </row>
    <row r="28" spans="1:14">
      <c r="A28" s="38"/>
      <c r="B28" s="39" t="s">
        <v>37</v>
      </c>
      <c r="C28" s="40"/>
      <c r="D28" s="41"/>
      <c r="E28" s="42"/>
      <c r="F28" s="41"/>
      <c r="G28" s="42"/>
      <c r="H28" s="41"/>
      <c r="I28" s="42"/>
      <c r="J28" s="41"/>
      <c r="K28" s="42"/>
      <c r="L28" s="41"/>
      <c r="M28" s="42"/>
      <c r="N28" s="43"/>
    </row>
    <row r="29" spans="1:14">
      <c r="A29" s="32"/>
      <c r="B29" s="33"/>
      <c r="C29" s="34"/>
      <c r="D29" s="44"/>
      <c r="E29" s="36"/>
      <c r="F29" s="44"/>
      <c r="G29" s="36"/>
      <c r="H29" s="44"/>
      <c r="I29" s="36"/>
      <c r="J29" s="44"/>
      <c r="K29" s="36"/>
      <c r="L29" s="44"/>
      <c r="M29" s="36"/>
      <c r="N29" s="45"/>
    </row>
    <row r="30" spans="1:14">
      <c r="A30" s="38"/>
      <c r="B30" s="46" t="s">
        <v>89</v>
      </c>
      <c r="C30" s="40"/>
      <c r="D30" s="58">
        <v>7656.5</v>
      </c>
      <c r="E30" s="42"/>
      <c r="F30" s="58">
        <v>8158.9</v>
      </c>
      <c r="G30" s="42"/>
      <c r="H30" s="58">
        <v>8199</v>
      </c>
      <c r="I30" s="42"/>
      <c r="J30" s="58">
        <v>8483</v>
      </c>
      <c r="K30" s="42"/>
      <c r="L30" s="58">
        <v>8639</v>
      </c>
      <c r="M30" s="42"/>
      <c r="N30" s="59">
        <v>8421</v>
      </c>
    </row>
    <row r="31" spans="1:14">
      <c r="A31" s="25"/>
      <c r="B31" s="30"/>
      <c r="C31" s="27"/>
      <c r="D31" s="49"/>
      <c r="E31" s="50"/>
      <c r="F31" s="49"/>
      <c r="G31" s="50"/>
      <c r="H31" s="49"/>
      <c r="I31" s="50"/>
      <c r="J31" s="49"/>
      <c r="K31" s="50"/>
      <c r="L31" s="49"/>
      <c r="M31" s="50"/>
      <c r="N31" s="51"/>
    </row>
    <row r="32" spans="1:14">
      <c r="A32" s="32"/>
      <c r="B32" s="33"/>
      <c r="C32" s="34"/>
      <c r="D32" s="35">
        <v>577.70000000000005</v>
      </c>
      <c r="E32" s="36"/>
      <c r="F32" s="35">
        <v>681.5</v>
      </c>
      <c r="G32" s="36"/>
      <c r="H32" s="35">
        <v>701.9</v>
      </c>
      <c r="I32" s="36"/>
      <c r="J32" s="35">
        <v>688</v>
      </c>
      <c r="K32" s="36"/>
      <c r="L32" s="35">
        <v>720</v>
      </c>
      <c r="M32" s="36"/>
      <c r="N32" s="37">
        <v>721</v>
      </c>
    </row>
    <row r="33" spans="1:14">
      <c r="A33" s="38"/>
      <c r="B33" s="39" t="s">
        <v>90</v>
      </c>
      <c r="C33" s="40"/>
      <c r="D33" s="41"/>
      <c r="E33" s="42"/>
      <c r="F33" s="41"/>
      <c r="G33" s="42"/>
      <c r="H33" s="41"/>
      <c r="I33" s="42"/>
      <c r="J33" s="41"/>
      <c r="K33" s="42"/>
      <c r="L33" s="41"/>
      <c r="M33" s="42"/>
      <c r="N33" s="43"/>
    </row>
    <row r="34" spans="1:14">
      <c r="A34" s="32"/>
      <c r="B34" s="33"/>
      <c r="C34" s="34"/>
      <c r="D34" s="52">
        <v>1577.8</v>
      </c>
      <c r="E34" s="36"/>
      <c r="F34" s="52">
        <v>2059</v>
      </c>
      <c r="G34" s="36"/>
      <c r="H34" s="52">
        <v>2067.8000000000002</v>
      </c>
      <c r="I34" s="36"/>
      <c r="J34" s="52">
        <v>2064</v>
      </c>
      <c r="K34" s="36"/>
      <c r="L34" s="52">
        <v>2055</v>
      </c>
      <c r="M34" s="36"/>
      <c r="N34" s="53">
        <v>2056</v>
      </c>
    </row>
    <row r="35" spans="1:14">
      <c r="A35" s="38"/>
      <c r="B35" s="39" t="s">
        <v>16</v>
      </c>
      <c r="C35" s="40"/>
      <c r="D35" s="41"/>
      <c r="E35" s="42"/>
      <c r="F35" s="41"/>
      <c r="G35" s="42"/>
      <c r="H35" s="41"/>
      <c r="I35" s="42"/>
      <c r="J35" s="41"/>
      <c r="K35" s="42"/>
      <c r="L35" s="41"/>
      <c r="M35" s="42"/>
      <c r="N35" s="43"/>
    </row>
    <row r="36" spans="1:14">
      <c r="A36" s="32"/>
      <c r="B36" s="33"/>
      <c r="C36" s="34"/>
      <c r="D36" s="35">
        <v>976</v>
      </c>
      <c r="E36" s="36"/>
      <c r="F36" s="52">
        <v>1338.5</v>
      </c>
      <c r="G36" s="36"/>
      <c r="H36" s="52">
        <v>1375.6</v>
      </c>
      <c r="I36" s="36"/>
      <c r="J36" s="52">
        <v>1348</v>
      </c>
      <c r="K36" s="36"/>
      <c r="L36" s="52">
        <v>1359</v>
      </c>
      <c r="M36" s="36"/>
      <c r="N36" s="53">
        <v>1327</v>
      </c>
    </row>
    <row r="37" spans="1:14">
      <c r="A37" s="38"/>
      <c r="B37" s="39" t="s">
        <v>91</v>
      </c>
      <c r="C37" s="40"/>
      <c r="D37" s="41"/>
      <c r="E37" s="42"/>
      <c r="F37" s="41"/>
      <c r="G37" s="42"/>
      <c r="H37" s="41"/>
      <c r="I37" s="42"/>
      <c r="J37" s="41"/>
      <c r="K37" s="42"/>
      <c r="L37" s="41"/>
      <c r="M37" s="42"/>
      <c r="N37" s="43"/>
    </row>
    <row r="38" spans="1:14">
      <c r="A38" s="32"/>
      <c r="B38" s="33"/>
      <c r="C38" s="34"/>
      <c r="D38" s="35">
        <v>497.1</v>
      </c>
      <c r="E38" s="36"/>
      <c r="F38" s="35">
        <v>503.6</v>
      </c>
      <c r="G38" s="36"/>
      <c r="H38" s="35">
        <v>541.4</v>
      </c>
      <c r="I38" s="36"/>
      <c r="J38" s="35">
        <v>536</v>
      </c>
      <c r="K38" s="36"/>
      <c r="L38" s="35">
        <v>559</v>
      </c>
      <c r="M38" s="36"/>
      <c r="N38" s="37">
        <v>513</v>
      </c>
    </row>
    <row r="39" spans="1:14">
      <c r="A39" s="38"/>
      <c r="B39" s="39" t="s">
        <v>92</v>
      </c>
      <c r="C39" s="40"/>
      <c r="D39" s="41"/>
      <c r="E39" s="42"/>
      <c r="F39" s="41"/>
      <c r="G39" s="42"/>
      <c r="H39" s="41"/>
      <c r="I39" s="42"/>
      <c r="J39" s="41"/>
      <c r="K39" s="42"/>
      <c r="L39" s="41"/>
      <c r="M39" s="42"/>
      <c r="N39" s="43"/>
    </row>
    <row r="40" spans="1:14">
      <c r="A40" s="32"/>
      <c r="B40" s="33"/>
      <c r="C40" s="34"/>
      <c r="D40" s="35">
        <v>47.1</v>
      </c>
      <c r="E40" s="36"/>
      <c r="F40" s="35">
        <v>45.5</v>
      </c>
      <c r="G40" s="36"/>
      <c r="H40" s="35">
        <v>45.6</v>
      </c>
      <c r="I40" s="36"/>
      <c r="J40" s="35">
        <v>65</v>
      </c>
      <c r="K40" s="36"/>
      <c r="L40" s="35">
        <v>77</v>
      </c>
      <c r="M40" s="36"/>
      <c r="N40" s="37">
        <v>69</v>
      </c>
    </row>
    <row r="41" spans="1:14">
      <c r="A41" s="38"/>
      <c r="B41" s="39" t="s">
        <v>93</v>
      </c>
      <c r="C41" s="40"/>
      <c r="D41" s="41"/>
      <c r="E41" s="42"/>
      <c r="F41" s="41"/>
      <c r="G41" s="42"/>
      <c r="H41" s="41"/>
      <c r="I41" s="42"/>
      <c r="J41" s="41"/>
      <c r="K41" s="42"/>
      <c r="L41" s="41"/>
      <c r="M41" s="42"/>
      <c r="N41" s="43"/>
    </row>
    <row r="42" spans="1:14">
      <c r="A42" s="32"/>
      <c r="B42" s="33"/>
      <c r="C42" s="34"/>
      <c r="D42" s="35">
        <v>474.9</v>
      </c>
      <c r="E42" s="36"/>
      <c r="F42" s="35">
        <v>425.4</v>
      </c>
      <c r="G42" s="36"/>
      <c r="H42" s="35">
        <v>404.3</v>
      </c>
      <c r="I42" s="36"/>
      <c r="J42" s="35">
        <v>305</v>
      </c>
      <c r="K42" s="36"/>
      <c r="L42" s="35">
        <v>270</v>
      </c>
      <c r="M42" s="36"/>
      <c r="N42" s="37">
        <v>423</v>
      </c>
    </row>
    <row r="43" spans="1:14">
      <c r="A43" s="38"/>
      <c r="B43" s="39" t="s">
        <v>94</v>
      </c>
      <c r="C43" s="40"/>
      <c r="D43" s="41"/>
      <c r="E43" s="42"/>
      <c r="F43" s="41"/>
      <c r="G43" s="42"/>
      <c r="H43" s="41"/>
      <c r="I43" s="42"/>
      <c r="J43" s="41"/>
      <c r="K43" s="42"/>
      <c r="L43" s="41"/>
      <c r="M43" s="42"/>
      <c r="N43" s="43"/>
    </row>
    <row r="44" spans="1:14">
      <c r="A44" s="32"/>
      <c r="B44" s="33"/>
      <c r="C44" s="34"/>
      <c r="D44" s="35">
        <v>173.3</v>
      </c>
      <c r="E44" s="36"/>
      <c r="F44" s="35">
        <v>168.5</v>
      </c>
      <c r="G44" s="36"/>
      <c r="H44" s="35">
        <v>193.1</v>
      </c>
      <c r="I44" s="36"/>
      <c r="J44" s="35">
        <v>197</v>
      </c>
      <c r="K44" s="36"/>
      <c r="L44" s="35">
        <v>206</v>
      </c>
      <c r="M44" s="36"/>
      <c r="N44" s="37">
        <v>160</v>
      </c>
    </row>
    <row r="45" spans="1:14">
      <c r="A45" s="38"/>
      <c r="B45" s="39" t="s">
        <v>95</v>
      </c>
      <c r="C45" s="40"/>
      <c r="D45" s="41"/>
      <c r="E45" s="42"/>
      <c r="F45" s="41"/>
      <c r="G45" s="42"/>
      <c r="H45" s="41"/>
      <c r="I45" s="42"/>
      <c r="J45" s="41"/>
      <c r="K45" s="42"/>
      <c r="L45" s="41"/>
      <c r="M45" s="42"/>
      <c r="N45" s="43"/>
    </row>
    <row r="46" spans="1:14">
      <c r="A46" s="32"/>
      <c r="B46" s="33"/>
      <c r="C46" s="34"/>
      <c r="D46" s="44"/>
      <c r="E46" s="36"/>
      <c r="F46" s="44"/>
      <c r="G46" s="36"/>
      <c r="H46" s="44"/>
      <c r="I46" s="36"/>
      <c r="J46" s="44"/>
      <c r="K46" s="36"/>
      <c r="L46" s="44"/>
      <c r="M46" s="36"/>
      <c r="N46" s="45"/>
    </row>
    <row r="47" spans="1:14">
      <c r="A47" s="38"/>
      <c r="B47" s="46" t="s">
        <v>18</v>
      </c>
      <c r="C47" s="40"/>
      <c r="D47" s="58">
        <v>15173.9</v>
      </c>
      <c r="E47" s="42"/>
      <c r="F47" s="58">
        <v>16593.599999999999</v>
      </c>
      <c r="G47" s="42"/>
      <c r="H47" s="58">
        <v>16483.7</v>
      </c>
      <c r="I47" s="42"/>
      <c r="J47" s="58">
        <v>16790</v>
      </c>
      <c r="K47" s="42"/>
      <c r="L47" s="58">
        <v>17019</v>
      </c>
      <c r="M47" s="42"/>
      <c r="N47" s="59">
        <v>17080</v>
      </c>
    </row>
    <row r="48" spans="1:14">
      <c r="A48" s="25"/>
      <c r="B48" s="30"/>
      <c r="C48" s="27"/>
      <c r="D48" s="49"/>
      <c r="E48" s="50"/>
      <c r="F48" s="49"/>
      <c r="G48" s="50"/>
      <c r="H48" s="49"/>
      <c r="I48" s="50"/>
      <c r="J48" s="49"/>
      <c r="K48" s="50"/>
      <c r="L48" s="49"/>
      <c r="M48" s="50"/>
      <c r="N48" s="51"/>
    </row>
    <row r="49" spans="1:14">
      <c r="A49" s="25"/>
      <c r="B49" s="29" t="s">
        <v>96</v>
      </c>
      <c r="C49" s="27"/>
      <c r="D49" s="30"/>
      <c r="E49" s="27"/>
      <c r="F49" s="30"/>
      <c r="G49" s="27"/>
      <c r="H49" s="30"/>
      <c r="I49" s="27"/>
      <c r="J49" s="30"/>
      <c r="K49" s="27"/>
      <c r="L49" s="30"/>
      <c r="M49" s="27"/>
      <c r="N49" s="31"/>
    </row>
    <row r="50" spans="1:14">
      <c r="A50" s="32"/>
      <c r="B50" s="33"/>
      <c r="C50" s="34"/>
      <c r="D50" s="52">
        <v>2874.1</v>
      </c>
      <c r="E50" s="36"/>
      <c r="F50" s="52">
        <v>2988.9</v>
      </c>
      <c r="G50" s="36"/>
      <c r="H50" s="52">
        <v>3028.6</v>
      </c>
      <c r="I50" s="36"/>
      <c r="J50" s="52">
        <v>2874</v>
      </c>
      <c r="K50" s="36"/>
      <c r="L50" s="52">
        <v>2960</v>
      </c>
      <c r="M50" s="36"/>
      <c r="N50" s="53">
        <v>2836</v>
      </c>
    </row>
    <row r="51" spans="1:14">
      <c r="A51" s="38"/>
      <c r="B51" s="39" t="s">
        <v>20</v>
      </c>
      <c r="C51" s="40"/>
      <c r="D51" s="41"/>
      <c r="E51" s="42"/>
      <c r="F51" s="41"/>
      <c r="G51" s="42"/>
      <c r="H51" s="41"/>
      <c r="I51" s="42"/>
      <c r="J51" s="41"/>
      <c r="K51" s="42"/>
      <c r="L51" s="41"/>
      <c r="M51" s="42"/>
      <c r="N51" s="43"/>
    </row>
    <row r="52" spans="1:14">
      <c r="A52" s="32"/>
      <c r="B52" s="33"/>
      <c r="C52" s="34"/>
      <c r="D52" s="55" t="s">
        <v>86</v>
      </c>
      <c r="E52" s="36"/>
      <c r="F52" s="55" t="s">
        <v>86</v>
      </c>
      <c r="G52" s="36"/>
      <c r="H52" s="55" t="s">
        <v>86</v>
      </c>
      <c r="I52" s="36"/>
      <c r="J52" s="35">
        <v>160</v>
      </c>
      <c r="K52" s="36"/>
      <c r="L52" s="35">
        <v>162</v>
      </c>
      <c r="M52" s="36"/>
      <c r="N52" s="37">
        <v>188</v>
      </c>
    </row>
    <row r="53" spans="1:14">
      <c r="A53" s="38"/>
      <c r="B53" s="39" t="s">
        <v>97</v>
      </c>
      <c r="C53" s="40"/>
      <c r="D53" s="41"/>
      <c r="E53" s="42"/>
      <c r="F53" s="41"/>
      <c r="G53" s="42"/>
      <c r="H53" s="41"/>
      <c r="I53" s="42"/>
      <c r="J53" s="41"/>
      <c r="K53" s="42"/>
      <c r="L53" s="41"/>
      <c r="M53" s="42"/>
      <c r="N53" s="43"/>
    </row>
    <row r="54" spans="1:14">
      <c r="A54" s="32"/>
      <c r="B54" s="33"/>
      <c r="C54" s="34"/>
      <c r="D54" s="35">
        <v>46.5</v>
      </c>
      <c r="E54" s="36"/>
      <c r="F54" s="35">
        <v>581</v>
      </c>
      <c r="G54" s="36"/>
      <c r="H54" s="35">
        <v>101</v>
      </c>
      <c r="I54" s="36"/>
      <c r="J54" s="35">
        <v>114</v>
      </c>
      <c r="K54" s="36"/>
      <c r="L54" s="35">
        <v>225</v>
      </c>
      <c r="M54" s="36"/>
      <c r="N54" s="37">
        <v>195</v>
      </c>
    </row>
    <row r="55" spans="1:14">
      <c r="A55" s="38"/>
      <c r="B55" s="39" t="s">
        <v>98</v>
      </c>
      <c r="C55" s="40"/>
      <c r="D55" s="41"/>
      <c r="E55" s="42"/>
      <c r="F55" s="41"/>
      <c r="G55" s="42"/>
      <c r="H55" s="41"/>
      <c r="I55" s="42"/>
      <c r="J55" s="41"/>
      <c r="K55" s="42"/>
      <c r="L55" s="41"/>
      <c r="M55" s="42"/>
      <c r="N55" s="43"/>
    </row>
    <row r="56" spans="1:14">
      <c r="A56" s="32"/>
      <c r="B56" s="33"/>
      <c r="C56" s="34"/>
      <c r="D56" s="35">
        <v>490.5</v>
      </c>
      <c r="E56" s="36"/>
      <c r="F56" s="35">
        <v>509.5</v>
      </c>
      <c r="G56" s="36"/>
      <c r="H56" s="35">
        <v>563.70000000000005</v>
      </c>
      <c r="I56" s="36"/>
      <c r="J56" s="35">
        <v>585</v>
      </c>
      <c r="K56" s="36"/>
      <c r="L56" s="35">
        <v>597</v>
      </c>
      <c r="M56" s="36"/>
      <c r="N56" s="37">
        <v>636</v>
      </c>
    </row>
    <row r="57" spans="1:14">
      <c r="A57" s="38"/>
      <c r="B57" s="39" t="s">
        <v>99</v>
      </c>
      <c r="C57" s="40"/>
      <c r="D57" s="41"/>
      <c r="E57" s="42"/>
      <c r="F57" s="41"/>
      <c r="G57" s="42"/>
      <c r="H57" s="41"/>
      <c r="I57" s="42"/>
      <c r="J57" s="41"/>
      <c r="K57" s="42"/>
      <c r="L57" s="41"/>
      <c r="M57" s="42"/>
      <c r="N57" s="43"/>
    </row>
    <row r="58" spans="1:14">
      <c r="A58" s="32"/>
      <c r="B58" s="33"/>
      <c r="C58" s="34"/>
      <c r="D58" s="35">
        <v>22.1</v>
      </c>
      <c r="E58" s="36"/>
      <c r="F58" s="35">
        <v>127.6</v>
      </c>
      <c r="G58" s="36"/>
      <c r="H58" s="35">
        <v>61.3</v>
      </c>
      <c r="I58" s="36"/>
      <c r="J58" s="35">
        <v>104</v>
      </c>
      <c r="K58" s="36"/>
      <c r="L58" s="35">
        <v>73</v>
      </c>
      <c r="M58" s="36"/>
      <c r="N58" s="37">
        <v>66</v>
      </c>
    </row>
    <row r="59" spans="1:14">
      <c r="A59" s="38"/>
      <c r="B59" s="39" t="s">
        <v>100</v>
      </c>
      <c r="C59" s="40"/>
      <c r="D59" s="41"/>
      <c r="E59" s="42"/>
      <c r="F59" s="41"/>
      <c r="G59" s="42"/>
      <c r="H59" s="41"/>
      <c r="I59" s="42"/>
      <c r="J59" s="41"/>
      <c r="K59" s="42"/>
      <c r="L59" s="41"/>
      <c r="M59" s="42"/>
      <c r="N59" s="43"/>
    </row>
    <row r="60" spans="1:14">
      <c r="A60" s="32"/>
      <c r="B60" s="33"/>
      <c r="C60" s="34"/>
      <c r="D60" s="35">
        <v>55</v>
      </c>
      <c r="E60" s="36"/>
      <c r="F60" s="35">
        <v>32.700000000000003</v>
      </c>
      <c r="G60" s="36"/>
      <c r="H60" s="35">
        <v>102.9</v>
      </c>
      <c r="I60" s="36"/>
      <c r="J60" s="35">
        <v>54</v>
      </c>
      <c r="K60" s="36"/>
      <c r="L60" s="35">
        <v>79</v>
      </c>
      <c r="M60" s="36"/>
      <c r="N60" s="37">
        <v>207</v>
      </c>
    </row>
    <row r="61" spans="1:14">
      <c r="A61" s="38"/>
      <c r="B61" s="39" t="s">
        <v>101</v>
      </c>
      <c r="C61" s="40"/>
      <c r="D61" s="41"/>
      <c r="E61" s="42"/>
      <c r="F61" s="41"/>
      <c r="G61" s="42"/>
      <c r="H61" s="41"/>
      <c r="I61" s="42"/>
      <c r="J61" s="41"/>
      <c r="K61" s="42"/>
      <c r="L61" s="41"/>
      <c r="M61" s="42"/>
      <c r="N61" s="43"/>
    </row>
    <row r="62" spans="1:14">
      <c r="A62" s="32"/>
      <c r="B62" s="33"/>
      <c r="C62" s="34"/>
      <c r="D62" s="44"/>
      <c r="E62" s="36"/>
      <c r="F62" s="44"/>
      <c r="G62" s="36"/>
      <c r="H62" s="44"/>
      <c r="I62" s="36"/>
      <c r="J62" s="44"/>
      <c r="K62" s="36"/>
      <c r="L62" s="44"/>
      <c r="M62" s="36"/>
      <c r="N62" s="45"/>
    </row>
    <row r="63" spans="1:14">
      <c r="A63" s="38"/>
      <c r="B63" s="46" t="s">
        <v>23</v>
      </c>
      <c r="C63" s="40"/>
      <c r="D63" s="58">
        <v>3488.2</v>
      </c>
      <c r="E63" s="42"/>
      <c r="F63" s="58">
        <v>4239.7</v>
      </c>
      <c r="G63" s="42"/>
      <c r="H63" s="58">
        <v>3857.5</v>
      </c>
      <c r="I63" s="42"/>
      <c r="J63" s="58">
        <v>3891</v>
      </c>
      <c r="K63" s="42"/>
      <c r="L63" s="58">
        <v>4096</v>
      </c>
      <c r="M63" s="42"/>
      <c r="N63" s="59">
        <v>4128</v>
      </c>
    </row>
    <row r="64" spans="1:14">
      <c r="A64" s="25"/>
      <c r="B64" s="30"/>
      <c r="C64" s="27"/>
      <c r="D64" s="49"/>
      <c r="E64" s="50"/>
      <c r="F64" s="49"/>
      <c r="G64" s="50"/>
      <c r="H64" s="49"/>
      <c r="I64" s="50"/>
      <c r="J64" s="49"/>
      <c r="K64" s="50"/>
      <c r="L64" s="49"/>
      <c r="M64" s="50"/>
      <c r="N64" s="51"/>
    </row>
    <row r="65" spans="1:14">
      <c r="A65" s="32"/>
      <c r="B65" s="33"/>
      <c r="C65" s="34"/>
      <c r="D65" s="52">
        <v>1178.8</v>
      </c>
      <c r="E65" s="36"/>
      <c r="F65" s="35">
        <v>595.70000000000005</v>
      </c>
      <c r="G65" s="36"/>
      <c r="H65" s="35">
        <v>911.3</v>
      </c>
      <c r="I65" s="36"/>
      <c r="J65" s="35">
        <v>982</v>
      </c>
      <c r="K65" s="36"/>
      <c r="L65" s="35">
        <v>857</v>
      </c>
      <c r="M65" s="36"/>
      <c r="N65" s="53">
        <v>1053</v>
      </c>
    </row>
    <row r="66" spans="1:14">
      <c r="A66" s="38"/>
      <c r="B66" s="39" t="s">
        <v>24</v>
      </c>
      <c r="C66" s="40"/>
      <c r="D66" s="41"/>
      <c r="E66" s="42"/>
      <c r="F66" s="41"/>
      <c r="G66" s="42"/>
      <c r="H66" s="41"/>
      <c r="I66" s="42"/>
      <c r="J66" s="41"/>
      <c r="K66" s="42"/>
      <c r="L66" s="41"/>
      <c r="M66" s="42"/>
      <c r="N66" s="43"/>
    </row>
    <row r="67" spans="1:14">
      <c r="A67" s="32"/>
      <c r="B67" s="33"/>
      <c r="C67" s="34"/>
      <c r="D67" s="52">
        <v>5417.6</v>
      </c>
      <c r="E67" s="36"/>
      <c r="F67" s="52">
        <v>5775.9</v>
      </c>
      <c r="G67" s="36"/>
      <c r="H67" s="52">
        <v>5620.9</v>
      </c>
      <c r="I67" s="36"/>
      <c r="J67" s="52">
        <v>5680</v>
      </c>
      <c r="K67" s="36"/>
      <c r="L67" s="52">
        <v>5785</v>
      </c>
      <c r="M67" s="36"/>
      <c r="N67" s="53">
        <v>5973</v>
      </c>
    </row>
    <row r="68" spans="1:14">
      <c r="A68" s="38"/>
      <c r="B68" s="39" t="s">
        <v>102</v>
      </c>
      <c r="C68" s="40"/>
      <c r="D68" s="41"/>
      <c r="E68" s="42"/>
      <c r="F68" s="41"/>
      <c r="G68" s="42"/>
      <c r="H68" s="41"/>
      <c r="I68" s="42"/>
      <c r="J68" s="41"/>
      <c r="K68" s="42"/>
      <c r="L68" s="41"/>
      <c r="M68" s="42"/>
      <c r="N68" s="43"/>
    </row>
    <row r="69" spans="1:14">
      <c r="A69" s="32"/>
      <c r="B69" s="33"/>
      <c r="C69" s="34"/>
      <c r="D69" s="35">
        <v>7.1</v>
      </c>
      <c r="E69" s="36"/>
      <c r="F69" s="35">
        <v>9.1999999999999993</v>
      </c>
      <c r="G69" s="36"/>
      <c r="H69" s="55" t="s">
        <v>86</v>
      </c>
      <c r="I69" s="36"/>
      <c r="J69" s="35">
        <v>5</v>
      </c>
      <c r="K69" s="36"/>
      <c r="L69" s="35">
        <v>4</v>
      </c>
      <c r="M69" s="36"/>
      <c r="N69" s="37">
        <v>12</v>
      </c>
    </row>
    <row r="70" spans="1:14">
      <c r="A70" s="38"/>
      <c r="B70" s="39" t="s">
        <v>103</v>
      </c>
      <c r="C70" s="40"/>
      <c r="D70" s="41"/>
      <c r="E70" s="42"/>
      <c r="F70" s="41"/>
      <c r="G70" s="42"/>
      <c r="H70" s="41"/>
      <c r="I70" s="42"/>
      <c r="J70" s="41"/>
      <c r="K70" s="42"/>
      <c r="L70" s="41"/>
      <c r="M70" s="42"/>
      <c r="N70" s="43"/>
    </row>
    <row r="71" spans="1:14">
      <c r="A71" s="32"/>
      <c r="B71" s="33"/>
      <c r="C71" s="34"/>
      <c r="D71" s="35">
        <v>254</v>
      </c>
      <c r="E71" s="36"/>
      <c r="F71" s="35">
        <v>178.2</v>
      </c>
      <c r="G71" s="36"/>
      <c r="H71" s="35">
        <v>166.6</v>
      </c>
      <c r="I71" s="36"/>
      <c r="J71" s="35">
        <v>160</v>
      </c>
      <c r="K71" s="36"/>
      <c r="L71" s="35">
        <v>162</v>
      </c>
      <c r="M71" s="36"/>
      <c r="N71" s="37">
        <v>188</v>
      </c>
    </row>
    <row r="72" spans="1:14">
      <c r="A72" s="38"/>
      <c r="B72" s="39" t="s">
        <v>104</v>
      </c>
      <c r="C72" s="40"/>
      <c r="D72" s="41"/>
      <c r="E72" s="42"/>
      <c r="F72" s="41"/>
      <c r="G72" s="42"/>
      <c r="H72" s="41"/>
      <c r="I72" s="42"/>
      <c r="J72" s="41"/>
      <c r="K72" s="42"/>
      <c r="L72" s="41"/>
      <c r="M72" s="42"/>
      <c r="N72" s="43"/>
    </row>
    <row r="73" spans="1:14">
      <c r="A73" s="32"/>
      <c r="B73" s="33"/>
      <c r="C73" s="34"/>
      <c r="D73" s="35">
        <v>190.7</v>
      </c>
      <c r="E73" s="36"/>
      <c r="F73" s="35">
        <v>260</v>
      </c>
      <c r="G73" s="36"/>
      <c r="H73" s="35">
        <v>268.8</v>
      </c>
      <c r="I73" s="36"/>
      <c r="J73" s="35">
        <v>265</v>
      </c>
      <c r="K73" s="36"/>
      <c r="L73" s="35">
        <v>262</v>
      </c>
      <c r="M73" s="36"/>
      <c r="N73" s="37">
        <v>262</v>
      </c>
    </row>
    <row r="74" spans="1:14">
      <c r="A74" s="38"/>
      <c r="B74" s="39" t="s">
        <v>105</v>
      </c>
      <c r="C74" s="40"/>
      <c r="D74" s="41"/>
      <c r="E74" s="42"/>
      <c r="F74" s="41"/>
      <c r="G74" s="42"/>
      <c r="H74" s="41"/>
      <c r="I74" s="42"/>
      <c r="J74" s="41"/>
      <c r="K74" s="42"/>
      <c r="L74" s="41"/>
      <c r="M74" s="42"/>
      <c r="N74" s="43"/>
    </row>
    <row r="75" spans="1:14">
      <c r="A75" s="32"/>
      <c r="B75" s="33"/>
      <c r="C75" s="34"/>
      <c r="D75" s="35">
        <v>139.5</v>
      </c>
      <c r="E75" s="36"/>
      <c r="F75" s="35">
        <v>401</v>
      </c>
      <c r="G75" s="36"/>
      <c r="H75" s="35">
        <v>321.89999999999998</v>
      </c>
      <c r="I75" s="36"/>
      <c r="J75" s="35">
        <v>338</v>
      </c>
      <c r="K75" s="36"/>
      <c r="L75" s="35">
        <v>309</v>
      </c>
      <c r="M75" s="36"/>
      <c r="N75" s="37">
        <v>312</v>
      </c>
    </row>
    <row r="76" spans="1:14">
      <c r="A76" s="38"/>
      <c r="B76" s="39" t="s">
        <v>106</v>
      </c>
      <c r="C76" s="40"/>
      <c r="D76" s="41"/>
      <c r="E76" s="42"/>
      <c r="F76" s="41"/>
      <c r="G76" s="42"/>
      <c r="H76" s="41"/>
      <c r="I76" s="42"/>
      <c r="J76" s="41"/>
      <c r="K76" s="42"/>
      <c r="L76" s="41"/>
      <c r="M76" s="42"/>
      <c r="N76" s="43"/>
    </row>
    <row r="77" spans="1:14">
      <c r="A77" s="32"/>
      <c r="B77" s="33"/>
      <c r="C77" s="34"/>
      <c r="D77" s="44"/>
      <c r="E77" s="36"/>
      <c r="F77" s="44"/>
      <c r="G77" s="36"/>
      <c r="H77" s="44"/>
      <c r="I77" s="36"/>
      <c r="J77" s="44"/>
      <c r="K77" s="36"/>
      <c r="L77" s="44"/>
      <c r="M77" s="36"/>
      <c r="N77" s="45"/>
    </row>
    <row r="78" spans="1:14">
      <c r="A78" s="38"/>
      <c r="B78" s="46" t="s">
        <v>25</v>
      </c>
      <c r="C78" s="40"/>
      <c r="D78" s="58">
        <v>10675.9</v>
      </c>
      <c r="E78" s="42"/>
      <c r="F78" s="58">
        <v>11459.7</v>
      </c>
      <c r="G78" s="42"/>
      <c r="H78" s="58">
        <v>11147</v>
      </c>
      <c r="I78" s="42"/>
      <c r="J78" s="58">
        <v>11321</v>
      </c>
      <c r="K78" s="42"/>
      <c r="L78" s="58">
        <v>11475</v>
      </c>
      <c r="M78" s="42"/>
      <c r="N78" s="59">
        <v>11928</v>
      </c>
    </row>
    <row r="79" spans="1:14">
      <c r="A79" s="25"/>
      <c r="B79" s="30"/>
      <c r="C79" s="27"/>
      <c r="D79" s="49"/>
      <c r="E79" s="50"/>
      <c r="F79" s="49"/>
      <c r="G79" s="50"/>
      <c r="H79" s="49"/>
      <c r="I79" s="50"/>
      <c r="J79" s="49"/>
      <c r="K79" s="50"/>
      <c r="L79" s="49"/>
      <c r="M79" s="50"/>
      <c r="N79" s="51"/>
    </row>
    <row r="80" spans="1:14">
      <c r="A80" s="32"/>
      <c r="B80" s="33"/>
      <c r="C80" s="34"/>
      <c r="D80" s="52">
        <v>1970.7</v>
      </c>
      <c r="E80" s="36"/>
      <c r="F80" s="52">
        <v>2026.9</v>
      </c>
      <c r="G80" s="36"/>
      <c r="H80" s="52">
        <v>1915.5</v>
      </c>
      <c r="I80" s="36"/>
      <c r="J80" s="52">
        <v>1780</v>
      </c>
      <c r="K80" s="36"/>
      <c r="L80" s="52">
        <v>1661</v>
      </c>
      <c r="M80" s="36"/>
      <c r="N80" s="53">
        <v>1579</v>
      </c>
    </row>
    <row r="81" spans="1:14">
      <c r="A81" s="38"/>
      <c r="B81" s="39" t="s">
        <v>107</v>
      </c>
      <c r="C81" s="40"/>
      <c r="D81" s="41"/>
      <c r="E81" s="42"/>
      <c r="F81" s="41"/>
      <c r="G81" s="42"/>
      <c r="H81" s="41"/>
      <c r="I81" s="42"/>
      <c r="J81" s="41"/>
      <c r="K81" s="42"/>
      <c r="L81" s="41"/>
      <c r="M81" s="42"/>
      <c r="N81" s="43"/>
    </row>
    <row r="82" spans="1:14">
      <c r="A82" s="32"/>
      <c r="B82" s="33"/>
      <c r="C82" s="34"/>
      <c r="D82" s="35">
        <v>25.2</v>
      </c>
      <c r="E82" s="36"/>
      <c r="F82" s="35">
        <v>37.200000000000003</v>
      </c>
      <c r="G82" s="36"/>
      <c r="H82" s="35">
        <v>50.1</v>
      </c>
      <c r="I82" s="36"/>
      <c r="J82" s="35">
        <v>56</v>
      </c>
      <c r="K82" s="36"/>
      <c r="L82" s="35">
        <v>30</v>
      </c>
      <c r="M82" s="36"/>
      <c r="N82" s="37">
        <v>94</v>
      </c>
    </row>
    <row r="83" spans="1:14">
      <c r="A83" s="38"/>
      <c r="B83" s="39" t="s">
        <v>108</v>
      </c>
      <c r="C83" s="40"/>
      <c r="D83" s="41"/>
      <c r="E83" s="42"/>
      <c r="F83" s="41"/>
      <c r="G83" s="42"/>
      <c r="H83" s="41"/>
      <c r="I83" s="42"/>
      <c r="J83" s="41"/>
      <c r="K83" s="42"/>
      <c r="L83" s="41"/>
      <c r="M83" s="42"/>
      <c r="N83" s="43"/>
    </row>
    <row r="84" spans="1:14">
      <c r="A84" s="32"/>
      <c r="B84" s="33"/>
      <c r="C84" s="34"/>
      <c r="D84" s="52">
        <v>2363.1</v>
      </c>
      <c r="E84" s="36"/>
      <c r="F84" s="52">
        <v>2914.2</v>
      </c>
      <c r="G84" s="36"/>
      <c r="H84" s="52">
        <v>3216</v>
      </c>
      <c r="I84" s="36"/>
      <c r="J84" s="52">
        <v>3485</v>
      </c>
      <c r="K84" s="36"/>
      <c r="L84" s="52">
        <v>3697</v>
      </c>
      <c r="M84" s="36"/>
      <c r="N84" s="53">
        <v>3334</v>
      </c>
    </row>
    <row r="85" spans="1:14">
      <c r="A85" s="38"/>
      <c r="B85" s="39" t="s">
        <v>27</v>
      </c>
      <c r="C85" s="40"/>
      <c r="D85" s="41"/>
      <c r="E85" s="42"/>
      <c r="F85" s="41"/>
      <c r="G85" s="42"/>
      <c r="H85" s="41"/>
      <c r="I85" s="42"/>
      <c r="J85" s="41"/>
      <c r="K85" s="42"/>
      <c r="L85" s="41"/>
      <c r="M85" s="42"/>
      <c r="N85" s="43"/>
    </row>
    <row r="86" spans="1:14">
      <c r="A86" s="32"/>
      <c r="B86" s="33"/>
      <c r="C86" s="34"/>
      <c r="D86" s="55" t="s">
        <v>86</v>
      </c>
      <c r="E86" s="36"/>
      <c r="F86" s="55" t="s">
        <v>86</v>
      </c>
      <c r="G86" s="36"/>
      <c r="H86" s="55" t="s">
        <v>86</v>
      </c>
      <c r="I86" s="36"/>
      <c r="J86" s="55" t="s">
        <v>86</v>
      </c>
      <c r="K86" s="36"/>
      <c r="L86" s="55" t="s">
        <v>86</v>
      </c>
      <c r="M86" s="36"/>
      <c r="N86" s="57" t="s">
        <v>86</v>
      </c>
    </row>
    <row r="87" spans="1:14">
      <c r="A87" s="38"/>
      <c r="B87" s="39" t="s">
        <v>109</v>
      </c>
      <c r="C87" s="40"/>
      <c r="D87" s="41"/>
      <c r="E87" s="42"/>
      <c r="F87" s="41"/>
      <c r="G87" s="42"/>
      <c r="H87" s="41"/>
      <c r="I87" s="42"/>
      <c r="J87" s="41"/>
      <c r="K87" s="42"/>
      <c r="L87" s="41"/>
      <c r="M87" s="42"/>
      <c r="N87" s="43"/>
    </row>
    <row r="88" spans="1:14">
      <c r="A88" s="32"/>
      <c r="B88" s="33"/>
      <c r="C88" s="34"/>
      <c r="D88" s="35">
        <v>13.7</v>
      </c>
      <c r="E88" s="36"/>
      <c r="F88" s="35">
        <v>13.2</v>
      </c>
      <c r="G88" s="36"/>
      <c r="H88" s="35">
        <v>18.8</v>
      </c>
      <c r="I88" s="36"/>
      <c r="J88" s="35">
        <v>20</v>
      </c>
      <c r="K88" s="36"/>
      <c r="L88" s="35">
        <v>22</v>
      </c>
      <c r="M88" s="36"/>
      <c r="N88" s="37">
        <v>-4</v>
      </c>
    </row>
    <row r="89" spans="1:14">
      <c r="A89" s="38"/>
      <c r="B89" s="39" t="s">
        <v>110</v>
      </c>
      <c r="C89" s="40"/>
      <c r="D89" s="41"/>
      <c r="E89" s="42"/>
      <c r="F89" s="41"/>
      <c r="G89" s="42"/>
      <c r="H89" s="41"/>
      <c r="I89" s="42"/>
      <c r="J89" s="41"/>
      <c r="K89" s="42"/>
      <c r="L89" s="41"/>
      <c r="M89" s="42"/>
      <c r="N89" s="43"/>
    </row>
    <row r="90" spans="1:14">
      <c r="A90" s="32"/>
      <c r="B90" s="33"/>
      <c r="C90" s="34"/>
      <c r="D90" s="44"/>
      <c r="E90" s="36"/>
      <c r="F90" s="44"/>
      <c r="G90" s="36"/>
      <c r="H90" s="44"/>
      <c r="I90" s="36"/>
      <c r="J90" s="44"/>
      <c r="K90" s="36"/>
      <c r="L90" s="44"/>
      <c r="M90" s="36"/>
      <c r="N90" s="45"/>
    </row>
    <row r="91" spans="1:14">
      <c r="A91" s="38"/>
      <c r="B91" s="46" t="s">
        <v>111</v>
      </c>
      <c r="C91" s="40"/>
      <c r="D91" s="58">
        <v>4372.7</v>
      </c>
      <c r="E91" s="42"/>
      <c r="F91" s="58">
        <v>4991.5</v>
      </c>
      <c r="G91" s="42"/>
      <c r="H91" s="58">
        <v>5200.3999999999996</v>
      </c>
      <c r="I91" s="42"/>
      <c r="J91" s="58">
        <v>5341</v>
      </c>
      <c r="K91" s="42"/>
      <c r="L91" s="58">
        <v>5410</v>
      </c>
      <c r="M91" s="42"/>
      <c r="N91" s="59">
        <v>5003</v>
      </c>
    </row>
    <row r="92" spans="1:14">
      <c r="A92" s="25"/>
      <c r="B92" s="30"/>
      <c r="C92" s="27"/>
      <c r="D92" s="49"/>
      <c r="E92" s="50"/>
      <c r="F92" s="49"/>
      <c r="G92" s="50"/>
      <c r="H92" s="49"/>
      <c r="I92" s="50"/>
      <c r="J92" s="49"/>
      <c r="K92" s="50"/>
      <c r="L92" s="49"/>
      <c r="M92" s="50"/>
      <c r="N92" s="51"/>
    </row>
    <row r="93" spans="1:14">
      <c r="A93" s="32"/>
      <c r="B93" s="33"/>
      <c r="C93" s="34"/>
      <c r="D93" s="35">
        <v>125.3</v>
      </c>
      <c r="E93" s="36"/>
      <c r="F93" s="35">
        <v>142.4</v>
      </c>
      <c r="G93" s="36"/>
      <c r="H93" s="35">
        <v>136.30000000000001</v>
      </c>
      <c r="I93" s="36"/>
      <c r="J93" s="35">
        <v>128</v>
      </c>
      <c r="K93" s="36"/>
      <c r="L93" s="35">
        <v>134</v>
      </c>
      <c r="M93" s="36"/>
      <c r="N93" s="37">
        <v>149</v>
      </c>
    </row>
    <row r="94" spans="1:14">
      <c r="A94" s="38"/>
      <c r="B94" s="39" t="s">
        <v>112</v>
      </c>
      <c r="C94" s="40"/>
      <c r="D94" s="41"/>
      <c r="E94" s="42"/>
      <c r="F94" s="41"/>
      <c r="G94" s="42"/>
      <c r="H94" s="41"/>
      <c r="I94" s="42"/>
      <c r="J94" s="41"/>
      <c r="K94" s="42"/>
      <c r="L94" s="41"/>
      <c r="M94" s="42"/>
      <c r="N94" s="43"/>
    </row>
    <row r="95" spans="1:14">
      <c r="A95" s="25"/>
      <c r="B95" s="30"/>
      <c r="C95" s="27"/>
      <c r="D95" s="49"/>
      <c r="E95" s="50"/>
      <c r="F95" s="49"/>
      <c r="G95" s="50"/>
      <c r="H95" s="49"/>
      <c r="I95" s="50"/>
      <c r="J95" s="49"/>
      <c r="K95" s="50"/>
      <c r="L95" s="49"/>
      <c r="M95" s="50"/>
      <c r="N95" s="51"/>
    </row>
    <row r="96" spans="1:14">
      <c r="A96" s="32"/>
      <c r="B96" s="33"/>
      <c r="C96" s="34"/>
      <c r="D96" s="52">
        <v>4498</v>
      </c>
      <c r="E96" s="36"/>
      <c r="F96" s="52">
        <v>5133.8999999999996</v>
      </c>
      <c r="G96" s="36"/>
      <c r="H96" s="52">
        <v>5336.7</v>
      </c>
      <c r="I96" s="36"/>
      <c r="J96" s="52">
        <v>5469</v>
      </c>
      <c r="K96" s="36"/>
      <c r="L96" s="52">
        <v>5544</v>
      </c>
      <c r="M96" s="36"/>
      <c r="N96" s="53">
        <v>5152</v>
      </c>
    </row>
    <row r="97" spans="1:14">
      <c r="A97" s="38"/>
      <c r="B97" s="46" t="s">
        <v>29</v>
      </c>
      <c r="C97" s="40"/>
      <c r="D97" s="41"/>
      <c r="E97" s="42"/>
      <c r="F97" s="41"/>
      <c r="G97" s="42"/>
      <c r="H97" s="41"/>
      <c r="I97" s="42"/>
      <c r="J97" s="41"/>
      <c r="K97" s="42"/>
      <c r="L97" s="41"/>
      <c r="M97" s="42"/>
      <c r="N97" s="43"/>
    </row>
    <row r="98" spans="1:14">
      <c r="A98" s="25"/>
      <c r="B98" s="30"/>
      <c r="C98" s="27"/>
      <c r="D98" s="49"/>
      <c r="E98" s="50"/>
      <c r="F98" s="49"/>
      <c r="G98" s="50"/>
      <c r="H98" s="49"/>
      <c r="I98" s="50"/>
      <c r="J98" s="49"/>
      <c r="K98" s="50"/>
      <c r="L98" s="49"/>
      <c r="M98" s="50"/>
      <c r="N98" s="51"/>
    </row>
    <row r="99" spans="1:14">
      <c r="A99" s="32"/>
      <c r="B99" s="33"/>
      <c r="C99" s="34"/>
      <c r="D99" s="52">
        <v>15173.9</v>
      </c>
      <c r="E99" s="36"/>
      <c r="F99" s="52">
        <v>16593.599999999999</v>
      </c>
      <c r="G99" s="36"/>
      <c r="H99" s="52">
        <v>16483.7</v>
      </c>
      <c r="I99" s="36"/>
      <c r="J99" s="52">
        <v>16790</v>
      </c>
      <c r="K99" s="36"/>
      <c r="L99" s="52">
        <v>17019</v>
      </c>
      <c r="M99" s="36"/>
      <c r="N99" s="45"/>
    </row>
    <row r="100" spans="1:14">
      <c r="A100" s="60"/>
      <c r="B100" s="61" t="s">
        <v>113</v>
      </c>
      <c r="C100" s="62"/>
      <c r="D100" s="63"/>
      <c r="E100" s="64"/>
      <c r="F100" s="63"/>
      <c r="G100" s="64"/>
      <c r="H100" s="63"/>
      <c r="I100" s="64"/>
      <c r="J100" s="63"/>
      <c r="K100" s="64"/>
      <c r="L100" s="63"/>
      <c r="M100" s="64"/>
      <c r="N100" s="65"/>
    </row>
  </sheetData>
  <hyperlinks>
    <hyperlink ref="D4" r:id="rId1" display="890.5" xr:uid="{940BFD9C-B9FB-4FCE-8186-4BC6A50D5685}"/>
    <hyperlink ref="F4" r:id="rId2" display="812.3" xr:uid="{1603CC8B-BF4E-406F-9BBD-DB82FA6DD8AA}"/>
    <hyperlink ref="H4" r:id="rId3" display="221.3" xr:uid="{8DA91051-DF59-4FA9-8F89-9808394FA7C7}"/>
    <hyperlink ref="J4" r:id="rId4" display="260" xr:uid="{35A8F932-5EC0-4C53-91EB-D5C36AB7F961}"/>
    <hyperlink ref="L4" r:id="rId5" display="285" xr:uid="{225A1C5F-2F1F-4518-A2A9-89EACDB3591C}"/>
    <hyperlink ref="N4" r:id="rId6" display="291" xr:uid="{8863F3ED-F7C7-4B09-85F9-CC3D1390C9CB}"/>
    <hyperlink ref="D7" r:id="rId7" display="890.5" xr:uid="{5DE24458-8B05-4259-8410-34026E56FEE8}"/>
    <hyperlink ref="F7" r:id="rId8" display="812.3" xr:uid="{A8B6E126-0E6F-4552-A4EF-6F80FBC7065B}"/>
    <hyperlink ref="H7" r:id="rId9" display="221.3" xr:uid="{D9CFC62A-43CD-438D-BBC3-53C2FED98123}"/>
    <hyperlink ref="J7" r:id="rId10" display="260" xr:uid="{5BD069AF-38F9-42D7-A633-7C19EC055378}"/>
    <hyperlink ref="L7" r:id="rId11" display="285" xr:uid="{EDA40950-0937-42C2-A498-16B4269B91A3}"/>
    <hyperlink ref="N7" r:id="rId12" display="291" xr:uid="{F5F1255A-097E-493B-AAE3-F345F6F1CCC8}"/>
    <hyperlink ref="D9" r:id="rId13" display="638" xr:uid="{F239EE6D-8B37-4524-8970-05FC9F4F2813}"/>
    <hyperlink ref="F9" r:id="rId14" display="632.6" xr:uid="{D6E8B578-59BD-49C1-A8D8-DEBE55AD4D84}"/>
    <hyperlink ref="H9" r:id="rId15" display="768.6" xr:uid="{8EBD13D8-46A6-49B5-9A78-57BD54D2ACDF}"/>
    <hyperlink ref="J9" r:id="rId16" display="793" xr:uid="{C648ED01-A9ED-4B4D-8ACE-73CF5B172EF8}"/>
    <hyperlink ref="L9" r:id="rId17" display="789" xr:uid="{0BE6DA23-D3FB-4009-BF27-C3235382A2A2}"/>
    <hyperlink ref="N9" r:id="rId18" display="838" xr:uid="{938CB2FC-FAB4-4966-AFC2-454E8F47EEC4}"/>
    <hyperlink ref="D11" r:id="rId19" display="60.5" xr:uid="{948D4ED1-74E3-4450-8A0B-68B9C80A6B6F}"/>
    <hyperlink ref="F11" r:id="rId20" display="48.7" xr:uid="{7EE933A6-7E16-43F1-9959-95C21525931E}"/>
    <hyperlink ref="H11" r:id="rId21" display="90.8" xr:uid="{4A7FA114-345F-457A-9612-BEBEA6D46364}"/>
    <hyperlink ref="J11" r:id="rId22" display="70" xr:uid="{D89FF670-DA6A-41D9-BE1A-FC7341E7A1E8}"/>
    <hyperlink ref="L11" r:id="rId23" display="54" xr:uid="{0A971B47-B835-44BE-A460-9E2339097986}"/>
    <hyperlink ref="N11" r:id="rId24" display="138" xr:uid="{77C76C9B-5590-484F-9683-B6062E9914CB}"/>
    <hyperlink ref="D14" r:id="rId25" display="698.5" xr:uid="{D6445908-5446-46FD-8FFB-AA866AF2F417}"/>
    <hyperlink ref="F14" r:id="rId26" display="681.3" xr:uid="{1C4924AA-4514-4CDE-B4BF-AE653A10362A}"/>
    <hyperlink ref="H14" r:id="rId27" display="859.4" xr:uid="{6C0E29BC-80A7-4D8B-A242-019138550CCE}"/>
    <hyperlink ref="J14" r:id="rId28" display="863" xr:uid="{7B640DBB-D33C-4677-B8C0-ADE66E2D7E40}"/>
    <hyperlink ref="L14" r:id="rId29" display="843" xr:uid="{D85D27E9-459D-4BF6-B8CE-5FAC5D6CEBD5}"/>
    <hyperlink ref="N14" r:id="rId30" display="976" xr:uid="{2F2CE903-6F37-48C4-A6D1-28AA0356A281}"/>
    <hyperlink ref="D16" r:id="rId31" display="1,500.10" xr:uid="{27279D8C-E6A5-4921-B746-129CFD038FC6}"/>
    <hyperlink ref="F16" r:id="rId32" display="1,591.50" xr:uid="{5B940333-6858-45C6-BF90-CA2D822BE41A}"/>
    <hyperlink ref="H16" r:id="rId33" display="1,743.30" xr:uid="{F5BD1B3F-F790-48F6-B049-556E0DF08ADD}"/>
    <hyperlink ref="J16" r:id="rId34" display="1,772.00" xr:uid="{B4655394-ADE0-4705-BC01-7FF277002E53}"/>
    <hyperlink ref="L16" r:id="rId35" display="1,833.00" xr:uid="{0F78BC16-CAA9-44ED-85C9-FD12F41109F0}"/>
    <hyperlink ref="N16" r:id="rId36" display="1,919.00" xr:uid="{E76AB9F3-60CF-4308-9BA8-CF861D8B6843}"/>
    <hyperlink ref="D18" r:id="rId37" display="101" xr:uid="{AD56A70D-7809-40FF-B9F0-21702B74EA00}"/>
    <hyperlink ref="F18" r:id="rId38" display="127.6" xr:uid="{EA2B586B-5621-4D65-A1D6-361621DC18D8}"/>
    <hyperlink ref="H18" r:id="rId39" display="131" xr:uid="{7CE271C2-9486-4A2D-B062-2C0507CE20E6}"/>
    <hyperlink ref="J18" r:id="rId40" display="162" xr:uid="{7F862B90-E962-44B6-99F6-9C3EA1E295C4}"/>
    <hyperlink ref="L18" r:id="rId41" display="173" xr:uid="{6BB4AAB6-3BA8-4A75-8548-BE8BB738A9FC}"/>
    <hyperlink ref="N18" r:id="rId42" display="204" xr:uid="{2BDED64B-F005-471A-B69F-863B57A3E487}"/>
    <hyperlink ref="D20" r:id="rId43" display="3.4" xr:uid="{C21B6529-A890-4B24-B85C-72ECA4EF15A2}"/>
    <hyperlink ref="J20" r:id="rId44" display="47" xr:uid="{D4D86FDE-6BE6-4A8D-83C9-E442B842F337}"/>
    <hyperlink ref="D23" r:id="rId45" display="3,193.50" xr:uid="{030F88FC-D989-4653-B47E-B406C57C3B01}"/>
    <hyperlink ref="F23" r:id="rId46" display="3,212.70" xr:uid="{F532F1CA-076C-42A9-89DE-2C90E597D966}"/>
    <hyperlink ref="H23" r:id="rId47" display="2,955.00" xr:uid="{BAC51F70-0701-4FC5-B3B8-2DCC8524BBF7}"/>
    <hyperlink ref="J23" r:id="rId48" display="3,104.00" xr:uid="{EE54CF55-E599-481D-BB2F-71193F33C1F4}"/>
    <hyperlink ref="L23" r:id="rId49" display="3,134.00" xr:uid="{9DE80266-2DC7-4E4D-9979-030ECF955A30}"/>
    <hyperlink ref="N23" r:id="rId50" display="3,390.00" xr:uid="{100A5AA2-0EB6-4C1E-9E13-E76147B2FD6D}"/>
    <hyperlink ref="D25" r:id="rId51" display="10,195.00" xr:uid="{2414C654-A8B4-46BF-9359-F0797D9DC2C1}"/>
    <hyperlink ref="F25" r:id="rId52" display="10,807.20" xr:uid="{85BBB101-CC52-4769-B003-DFD8218A756C}"/>
    <hyperlink ref="H25" r:id="rId53" display="10,974.80" xr:uid="{DA78C223-08B3-4484-9000-EEF0FF6CB403}"/>
    <hyperlink ref="J25" r:id="rId54" display="11,388.00" xr:uid="{F1B44F9C-0B26-48E5-A7E6-A329D48AB0D9}"/>
    <hyperlink ref="L25" r:id="rId55" display="11,756.00" xr:uid="{07BE6095-8D33-4940-84D3-A133001F27ED}"/>
    <hyperlink ref="N25" r:id="rId56" display="11,809.00" xr:uid="{B5308659-9EB1-48D8-A463-CCA851B67C3B}"/>
    <hyperlink ref="D27" r:id="rId57" display="-2,538.50" xr:uid="{6E4ECFF6-F3B2-4D21-B756-B2AF20F0FED1}"/>
    <hyperlink ref="F27" r:id="rId58" display="-2,648.30" xr:uid="{851A8EE5-B672-40F9-87E1-1AA15A0C5E33}"/>
    <hyperlink ref="H27" r:id="rId59" display="-2,775.80" xr:uid="{DE0AE3AE-2573-4843-A9BF-434A93BFB8BC}"/>
    <hyperlink ref="J27" r:id="rId60" display="-2,905.00" xr:uid="{E1F9D07C-623A-400D-8F43-2651BD5193E0}"/>
    <hyperlink ref="L27" r:id="rId61" display="-3,117.00" xr:uid="{48BBB189-27A9-4738-9775-71A0051053C9}"/>
    <hyperlink ref="N27" r:id="rId62" display="-3,388.00" xr:uid="{6C0D26EC-14FF-43DE-B985-5F19CE7E889C}"/>
    <hyperlink ref="D30" r:id="rId63" display="7,656.50" xr:uid="{8E44C0FB-1A5B-4D36-93A0-2277FDCD9E72}"/>
    <hyperlink ref="F30" r:id="rId64" display="8,158.90" xr:uid="{1119590E-A338-4ACE-99A5-51AF7255FDE3}"/>
    <hyperlink ref="H30" r:id="rId65" display="8,199.00" xr:uid="{D3DA75D4-7C3F-4B59-900A-11063FF78D93}"/>
    <hyperlink ref="J30" r:id="rId66" display="8,483.00" xr:uid="{063FB4A2-3596-42ED-A70F-AF84D7B4DA19}"/>
    <hyperlink ref="L30" r:id="rId67" display="8,639.00" xr:uid="{F954A89C-D74F-4060-98FF-F33D69F34E76}"/>
    <hyperlink ref="N30" r:id="rId68" display="8,421.00" xr:uid="{214C0582-7F75-453B-AAE4-8E85CEC99599}"/>
    <hyperlink ref="D32" r:id="rId69" display="577.7" xr:uid="{AF3F555B-87EB-485B-A742-850FFDA35B07}"/>
    <hyperlink ref="F32" r:id="rId70" display="681.5" xr:uid="{B058BE86-CF86-4E28-A038-71852817CA18}"/>
    <hyperlink ref="H32" r:id="rId71" display="701.9" xr:uid="{2ABA581A-AE93-461C-AFC9-41C39FDC4C5C}"/>
    <hyperlink ref="J32" r:id="rId72" display="688" xr:uid="{214DB008-5C04-43BC-81DE-3DE4922ABDB5}"/>
    <hyperlink ref="L32" r:id="rId73" display="720" xr:uid="{AF2A8D42-40B4-4ADA-B727-AE8ECDC65C61}"/>
    <hyperlink ref="N32" r:id="rId74" display="721" xr:uid="{ACCEF2ED-B79F-4D34-B0A9-EE5C4FB6E33F}"/>
    <hyperlink ref="D34" r:id="rId75" display="1,577.80" xr:uid="{5A7E0B8E-21A7-47C7-8E0D-0B7C56A98175}"/>
    <hyperlink ref="F34" r:id="rId76" display="2,059.00" xr:uid="{8BCBB0E1-45E8-4A81-9FD2-98AAA5239271}"/>
    <hyperlink ref="H34" r:id="rId77" display="2,067.80" xr:uid="{114C17F4-B451-4952-8B5E-C704084891DE}"/>
    <hyperlink ref="J34" r:id="rId78" display="2,064.00" xr:uid="{1A5E462F-9CE6-4E5B-B53E-BAA96B53CBB0}"/>
    <hyperlink ref="L34" r:id="rId79" display="2,055.00" xr:uid="{06141B3D-DC62-414A-8A10-4A972FEC02F7}"/>
    <hyperlink ref="N34" r:id="rId80" display="2,056.00" xr:uid="{7F1739E2-C960-4D37-B73A-7F0BF85059E4}"/>
    <hyperlink ref="D36" r:id="rId81" display="976" xr:uid="{2115B345-8EBF-441C-92EB-C15C6D728C93}"/>
    <hyperlink ref="F36" r:id="rId82" display="1,338.50" xr:uid="{3A32BFBF-A09B-4F6E-8684-ABC093B985A4}"/>
    <hyperlink ref="H36" r:id="rId83" display="1,375.60" xr:uid="{9BB408D4-8AA3-4826-AEEE-0A1F8EBEA8B3}"/>
    <hyperlink ref="J36" r:id="rId84" display="1,348.00" xr:uid="{64044907-D878-478D-BA32-F255936C8C1E}"/>
    <hyperlink ref="L36" r:id="rId85" display="1,359.00" xr:uid="{E2D14535-00A7-4A1F-85A7-092A5236034A}"/>
    <hyperlink ref="N36" r:id="rId86" display="1,327.00" xr:uid="{54CD22DD-A5FD-41AA-AFD1-D2AE6A1322C2}"/>
    <hyperlink ref="D38" r:id="rId87" display="497.1" xr:uid="{24A6A995-E580-457B-A2CC-12C2D3F36D00}"/>
    <hyperlink ref="F38" r:id="rId88" display="503.6" xr:uid="{548F6641-7974-45F0-A567-B535A811D0F6}"/>
    <hyperlink ref="H38" r:id="rId89" display="541.4" xr:uid="{1CC5387D-7D98-4419-A7DA-4066AE1CB535}"/>
    <hyperlink ref="J38" r:id="rId90" display="536" xr:uid="{AF482F52-AC61-4502-A543-1513589CA12B}"/>
    <hyperlink ref="L38" r:id="rId91" display="559" xr:uid="{CB9B1EEF-B92B-475C-A0F9-F345068212BC}"/>
    <hyperlink ref="N38" r:id="rId92" display="513" xr:uid="{0AE4A64B-9789-4EE9-9AFF-7D2D0030CFB5}"/>
    <hyperlink ref="D40" r:id="rId93" display="47.1" xr:uid="{58787FE8-D2C2-485F-9D56-7C7ED22AC3DC}"/>
    <hyperlink ref="F40" r:id="rId94" display="45.5" xr:uid="{49E34DA1-BB03-4DF8-9E41-F3A79315E537}"/>
    <hyperlink ref="H40" r:id="rId95" display="45.6" xr:uid="{7E63B3E4-25F1-454E-AFAB-2E14AF9D70B7}"/>
    <hyperlink ref="J40" r:id="rId96" display="65" xr:uid="{73267575-F06D-4E80-BC62-1795E7A7801C}"/>
    <hyperlink ref="L40" r:id="rId97" display="77" xr:uid="{AD90FA93-3A03-44D4-9448-87051FD01C01}"/>
    <hyperlink ref="N40" r:id="rId98" display="69" xr:uid="{1A700AF3-AF5A-465C-899F-4C82C523C82E}"/>
    <hyperlink ref="D42" r:id="rId99" display="474.9" xr:uid="{C731612B-30D3-4064-88CB-13711039AC48}"/>
    <hyperlink ref="F42" r:id="rId100" display="425.4" xr:uid="{085DFAC1-5BA7-49DA-A768-C4EDF0E7360A}"/>
    <hyperlink ref="H42" r:id="rId101" display="404.3" xr:uid="{7496E651-850A-47A8-BF02-140142F1D9D0}"/>
    <hyperlink ref="J42" r:id="rId102" display="305" xr:uid="{04DC6F0E-F30E-46A7-8E07-98BACEC31937}"/>
    <hyperlink ref="L42" r:id="rId103" display="270" xr:uid="{7FE368E3-8A71-483F-B696-3D8D68185C35}"/>
    <hyperlink ref="N42" r:id="rId104" display="423" xr:uid="{31249FF0-3F0E-4AF5-9E94-F096DD4567AD}"/>
    <hyperlink ref="D44" r:id="rId105" display="173.3" xr:uid="{98E0CB7C-4CBF-4EE4-AC85-82B2C20BC2DE}"/>
    <hyperlink ref="F44" r:id="rId106" display="168.5" xr:uid="{A8B528CE-6265-4A8F-823D-CE330C0B8A7E}"/>
    <hyperlink ref="H44" r:id="rId107" display="193.1" xr:uid="{782E7903-F1F4-4BE7-A695-98EFFFE4EEC9}"/>
    <hyperlink ref="J44" r:id="rId108" display="197" xr:uid="{B472B370-61D6-480D-B87B-9074B1126F33}"/>
    <hyperlink ref="L44" r:id="rId109" display="206" xr:uid="{A2C92DC5-8CA0-497E-BC62-5A1FB8F4EAF8}"/>
    <hyperlink ref="N44" r:id="rId110" display="160" xr:uid="{45B161E7-44B0-40EE-9402-ED73A1C66F4B}"/>
    <hyperlink ref="D47" r:id="rId111" display="15,173.90" xr:uid="{0889FC30-67CB-4405-9787-C75028E638E9}"/>
    <hyperlink ref="F47" r:id="rId112" display="16,593.60" xr:uid="{48561B04-B538-4B44-9ADF-BF320A3B84DB}"/>
    <hyperlink ref="H47" r:id="rId113" display="16,483.70" xr:uid="{A8454259-1B7A-4B11-8437-82305936307B}"/>
    <hyperlink ref="J47" r:id="rId114" display="16,790.00" xr:uid="{667B5583-2CEA-495F-928A-B8DB45042C0E}"/>
    <hyperlink ref="L47" r:id="rId115" display="17,019.00" xr:uid="{408ADF58-6036-400D-9970-B41DA4D05A2E}"/>
    <hyperlink ref="N47" r:id="rId116" display="17,080.00" xr:uid="{D0FF23DB-47EE-481E-A1D6-1F87CC0F65FE}"/>
    <hyperlink ref="D50" r:id="rId117" display="2,874.10" xr:uid="{AF0088DE-EEAB-4165-BA03-1EFA2F182A3D}"/>
    <hyperlink ref="F50" r:id="rId118" display="2,988.90" xr:uid="{2A58E834-989B-4482-926D-CB45AC7B54A5}"/>
    <hyperlink ref="H50" r:id="rId119" display="3,028.60" xr:uid="{A4A7F700-D2E1-46F3-846C-FFD5FD32AA3C}"/>
    <hyperlink ref="J50" r:id="rId120" display="2,874.00" xr:uid="{136E946F-A2F1-4AA4-A41A-B76819359CEC}"/>
    <hyperlink ref="L50" r:id="rId121" display="2,960.00" xr:uid="{907C9724-B2D0-491A-B1C0-6A627FB89210}"/>
    <hyperlink ref="N50" r:id="rId122" display="2,836.00" xr:uid="{B8A80521-82C7-423A-8B57-E7D11021CEF9}"/>
    <hyperlink ref="J52" r:id="rId123" display="160" xr:uid="{5A6E693B-AB0E-4A41-AEA1-0168353E0862}"/>
    <hyperlink ref="L52" r:id="rId124" display="162" xr:uid="{7079F3A8-223D-45E2-930A-05E58719E799}"/>
    <hyperlink ref="N52" r:id="rId125" display="188" xr:uid="{584DCA0F-44B9-4AD2-8F95-A3378F8790CC}"/>
    <hyperlink ref="D54" r:id="rId126" display="46.5" xr:uid="{5869E910-32EA-409A-A9FA-EA3C94E78CF7}"/>
    <hyperlink ref="F54" r:id="rId127" display="581" xr:uid="{6C254E44-5895-4466-A97F-7FEEF3D7C395}"/>
    <hyperlink ref="H54" r:id="rId128" display="101" xr:uid="{144CD45D-FE69-4263-AD0D-B2BCAC61D9D5}"/>
    <hyperlink ref="J54" r:id="rId129" display="114" xr:uid="{9045B4F6-BEB1-4C65-8980-55C8F4CBC031}"/>
    <hyperlink ref="L54" r:id="rId130" display="225" xr:uid="{667542A8-9F46-4A86-8E6E-F6225EEC25AC}"/>
    <hyperlink ref="N54" r:id="rId131" display="195" xr:uid="{E5DC5582-A702-4A19-B0E6-BB0C589E9EF7}"/>
    <hyperlink ref="D56" r:id="rId132" display="490.5" xr:uid="{CC21D4F4-E35D-4C62-8201-B4CBE925D3F5}"/>
    <hyperlink ref="F56" r:id="rId133" display="509.5" xr:uid="{045087D0-8D3D-4470-ABCA-9E8AA0606784}"/>
    <hyperlink ref="H56" r:id="rId134" display="563.7" xr:uid="{6FED4E5A-D8DC-4F85-B2CD-6D2D23F6A156}"/>
    <hyperlink ref="J56" r:id="rId135" display="585" xr:uid="{95CD5A3F-F451-4B75-AAA3-B84D1B95BA96}"/>
    <hyperlink ref="L56" r:id="rId136" display="597" xr:uid="{417CA515-9860-4452-BA98-14E566624294}"/>
    <hyperlink ref="N56" r:id="rId137" display="636" xr:uid="{5E60F6AE-D0E1-45A3-944E-B5D790F00031}"/>
    <hyperlink ref="D58" r:id="rId138" display="22.1" xr:uid="{03A79104-AC11-440E-BC41-3410F1ABF265}"/>
    <hyperlink ref="F58" r:id="rId139" display="127.6" xr:uid="{1D54E5E7-181B-4B32-9143-1D5447A3D1A5}"/>
    <hyperlink ref="H58" r:id="rId140" display="61.3" xr:uid="{DEE7B43E-AB1B-4791-872C-1CA975438282}"/>
    <hyperlink ref="J58" r:id="rId141" display="104" xr:uid="{0090CBFD-5FA9-439C-A4E7-8F84A0FC065B}"/>
    <hyperlink ref="L58" r:id="rId142" display="73" xr:uid="{1C9B6820-9AB0-4F96-B696-18A6B395AD0D}"/>
    <hyperlink ref="N58" r:id="rId143" display="66" xr:uid="{5B8EA6FC-9EB6-4AA6-A51F-F24AEE32249E}"/>
    <hyperlink ref="D60" r:id="rId144" display="55" xr:uid="{E7EBA982-11F7-4053-89DA-6D8C47B3D3FD}"/>
    <hyperlink ref="F60" r:id="rId145" display="32.7" xr:uid="{25837F21-C3FA-4EEA-9F21-693A90D3C469}"/>
    <hyperlink ref="H60" r:id="rId146" display="102.9" xr:uid="{D2D3549A-8AB1-4E55-83F5-21ABEBCE2B10}"/>
    <hyperlink ref="J60" r:id="rId147" display="54" xr:uid="{380387EB-7C8A-4350-8566-76D33D56CC61}"/>
    <hyperlink ref="L60" r:id="rId148" display="79" xr:uid="{2A29F58B-AB3E-4A13-B141-12E7CE57E20E}"/>
    <hyperlink ref="N60" r:id="rId149" display="207" xr:uid="{F84F17D0-0F88-4EB8-B0C1-08BE7C910655}"/>
    <hyperlink ref="D63" r:id="rId150" display="3,488.20" xr:uid="{E00049CC-9104-4733-9F40-05D188C15FB7}"/>
    <hyperlink ref="F63" r:id="rId151" display="4,239.70" xr:uid="{31DF59CF-3B5C-4DB1-9AD9-B62F8387DEE2}"/>
    <hyperlink ref="H63" r:id="rId152" display="3,857.50" xr:uid="{4430CFD6-95E5-44B4-9E88-C82AF3EA2B3C}"/>
    <hyperlink ref="J63" r:id="rId153" display="3,891.00" xr:uid="{0D03C1E9-8A5A-43C2-9BA6-12EBB25B9D22}"/>
    <hyperlink ref="L63" r:id="rId154" display="4,096.00" xr:uid="{6071F46E-6659-495E-BBDE-6837261AB337}"/>
    <hyperlink ref="N63" r:id="rId155" display="4,128.00" xr:uid="{702F6D74-8736-4D26-A5C8-E61DE1683C0F}"/>
    <hyperlink ref="D65" r:id="rId156" display="1,178.80" xr:uid="{E51A8E09-D667-4E7C-8E72-73A89C89372F}"/>
    <hyperlink ref="F65" r:id="rId157" display="595.7" xr:uid="{6399BC9B-5986-4FF7-8871-1C67241D6DA9}"/>
    <hyperlink ref="H65" r:id="rId158" display="911.3" xr:uid="{751DF501-7BAD-454D-9AAF-D63A3813FF19}"/>
    <hyperlink ref="J65" r:id="rId159" display="982" xr:uid="{C923C77C-6DB2-4A69-989F-6D656E1C51A2}"/>
    <hyperlink ref="L65" r:id="rId160" display="857" xr:uid="{0A5D27D5-ADAD-4117-AAC3-920B86BAE275}"/>
    <hyperlink ref="N65" r:id="rId161" display="1,053.00" xr:uid="{7334EFF4-9EF4-4425-A14A-ABF8DC44EAA4}"/>
    <hyperlink ref="D67" r:id="rId162" display="5,417.60" xr:uid="{828F6667-8596-4D1C-84C1-AE2074C2BC2E}"/>
    <hyperlink ref="F67" r:id="rId163" display="5,775.90" xr:uid="{AD7C8C96-EF19-420C-A939-074CD222412A}"/>
    <hyperlink ref="H67" r:id="rId164" display="5,620.90" xr:uid="{177E66C5-C684-4CD9-B578-099B1BB8ADB7}"/>
    <hyperlink ref="J67" r:id="rId165" display="5,680.00" xr:uid="{9227C6B9-2983-4E1D-9BE1-484D81201216}"/>
    <hyperlink ref="L67" r:id="rId166" display="5,785.00" xr:uid="{7F00C91D-1D04-40E0-AAE0-38B3BEFDD2BD}"/>
    <hyperlink ref="N67" r:id="rId167" display="5,973.00" xr:uid="{36745AC3-C056-4F65-B936-FF10D4725233}"/>
    <hyperlink ref="D69" r:id="rId168" display="7.1" xr:uid="{7BD7FED4-572C-4785-AC1A-61C86FB425B8}"/>
    <hyperlink ref="F69" r:id="rId169" display="9.2" xr:uid="{D7B60F2D-1E33-41E0-B3AA-23273DB548E2}"/>
    <hyperlink ref="J69" r:id="rId170" display="5" xr:uid="{72134522-0461-44B2-B2A3-CD639B6F2306}"/>
    <hyperlink ref="L69" r:id="rId171" display="4" xr:uid="{2D1FC9F1-6A1D-4915-9E3C-DE769C8FCF20}"/>
    <hyperlink ref="N69" r:id="rId172" display="12" xr:uid="{ED70F8F6-BAC9-465A-BD77-D85EE4154EEF}"/>
    <hyperlink ref="D71" r:id="rId173" display="254" xr:uid="{B865960C-3790-4414-8C07-EAF113C50B1F}"/>
    <hyperlink ref="F71" r:id="rId174" display="178.2" xr:uid="{13D86A5A-7C98-4022-ABF0-FA64A334EBB3}"/>
    <hyperlink ref="H71" r:id="rId175" display="166.6" xr:uid="{9C569D8C-A126-42E2-9356-05DD479ACBAE}"/>
    <hyperlink ref="J71" r:id="rId176" display="160" xr:uid="{29645BB9-B402-4B46-B325-3B88B571328A}"/>
    <hyperlink ref="L71" r:id="rId177" display="162" xr:uid="{6A358377-B57F-4046-AF19-8C3F914DD251}"/>
    <hyperlink ref="N71" r:id="rId178" display="188" xr:uid="{C9A2BED5-097C-452C-A29E-96CBE8F90607}"/>
    <hyperlink ref="D73" r:id="rId179" display="190.7" xr:uid="{E9988816-A934-4DE2-8C16-FCCBCBA78503}"/>
    <hyperlink ref="F73" r:id="rId180" display="260" xr:uid="{C8A1BA24-6B4F-412C-94EC-1AD549DD1026}"/>
    <hyperlink ref="H73" r:id="rId181" display="268.8" xr:uid="{65268ADA-06A9-49F1-B150-FF7D5D0DD089}"/>
    <hyperlink ref="J73" r:id="rId182" display="265" xr:uid="{7F7AF026-9E0A-4A1C-AAE5-1BC8D58D88D7}"/>
    <hyperlink ref="L73" r:id="rId183" display="262" xr:uid="{4008C3C1-82DB-42B1-BC28-3A3CE17B16A6}"/>
    <hyperlink ref="N73" r:id="rId184" display="262" xr:uid="{45ACADDF-D825-4398-966C-AEFC25C4F0D2}"/>
    <hyperlink ref="D75" r:id="rId185" display="139.5" xr:uid="{CCFDADAD-FE35-4727-8176-A79CE8C6DD81}"/>
    <hyperlink ref="F75" r:id="rId186" display="401" xr:uid="{45134319-3D9C-4EAE-8E69-6236778936AD}"/>
    <hyperlink ref="H75" r:id="rId187" display="321.9" xr:uid="{CA600094-5B3E-4E4C-B00A-65E62B6E53E8}"/>
    <hyperlink ref="J75" r:id="rId188" display="338" xr:uid="{426D1359-7EB2-4225-BF40-BDBE842762D2}"/>
    <hyperlink ref="L75" r:id="rId189" display="309" xr:uid="{F91E6FE9-B3D3-4DA1-9E30-D00177635042}"/>
    <hyperlink ref="N75" r:id="rId190" display="312" xr:uid="{6BB519FA-6419-4344-B2B4-91EA67E081B0}"/>
    <hyperlink ref="D78" r:id="rId191" display="10,675.90" xr:uid="{DF6CCAE5-CCBD-40A0-9B66-0A9D3AA4BFA4}"/>
    <hyperlink ref="F78" r:id="rId192" display="11,459.70" xr:uid="{CDADB33F-CE2C-4626-8E3C-51235143FF8A}"/>
    <hyperlink ref="H78" r:id="rId193" display="11,147.00" xr:uid="{BFEBA08E-39B1-4D74-9248-0BB150526B2B}"/>
    <hyperlink ref="J78" r:id="rId194" display="11,321.00" xr:uid="{5D782CA8-2E48-4069-BEF7-33CBE48DBFA0}"/>
    <hyperlink ref="L78" r:id="rId195" display="11,475.00" xr:uid="{B4F36E7D-1C29-47E9-ABE6-976EC20A2605}"/>
    <hyperlink ref="N78" r:id="rId196" display="11,928.00" xr:uid="{412FA07D-7C75-4AC1-9CDC-558749016DC4}"/>
    <hyperlink ref="D80" r:id="rId197" display="1,970.70" xr:uid="{A5CF7C15-46BF-4CD9-B4D3-E993DEC935C6}"/>
    <hyperlink ref="F80" r:id="rId198" display="2,026.90" xr:uid="{276DFB86-5516-4DD1-B268-731E7F7B5757}"/>
    <hyperlink ref="H80" r:id="rId199" display="1,915.50" xr:uid="{093BD535-E3E3-4247-8977-D17E6076AAAC}"/>
    <hyperlink ref="J80" r:id="rId200" display="1,780.00" xr:uid="{BFC0BF53-B885-401C-A4B5-3F7F95116A45}"/>
    <hyperlink ref="L80" r:id="rId201" display="1,661.00" xr:uid="{CFA76F73-09CC-4687-A46C-E6DF16F0F7FA}"/>
    <hyperlink ref="N80" r:id="rId202" display="1,579.00" xr:uid="{00DF7C1C-5B27-4131-BA94-6224619D1BFB}"/>
    <hyperlink ref="D82" r:id="rId203" display="25.2" xr:uid="{2F9D14C7-A5E3-48FE-96CA-61D6593C16A8}"/>
    <hyperlink ref="F82" r:id="rId204" display="37.2" xr:uid="{24634558-012D-4D0A-A64B-5699B500E4F5}"/>
    <hyperlink ref="H82" r:id="rId205" display="50.1" xr:uid="{07BF03B5-619C-4C3A-8B9B-B4ED4EE2248D}"/>
    <hyperlink ref="J82" r:id="rId206" display="56" xr:uid="{1B0A5E0F-6BDC-466F-B504-8C6FD36D9756}"/>
    <hyperlink ref="L82" r:id="rId207" display="30" xr:uid="{A927F9C3-8918-45C2-99A3-29A559B2ADF8}"/>
    <hyperlink ref="N82" r:id="rId208" display="94" xr:uid="{4575C46D-A015-4D56-8B72-8B59981E02CE}"/>
    <hyperlink ref="D84" r:id="rId209" display="2,363.10" xr:uid="{80FAD3DE-08BD-41D9-A2AF-202D49CBDD4E}"/>
    <hyperlink ref="F84" r:id="rId210" display="2,914.20" xr:uid="{E93899F8-B369-4325-889A-23D245BCC9B6}"/>
    <hyperlink ref="H84" r:id="rId211" display="3,216.00" xr:uid="{EBC5828D-839A-44D0-8207-5CEECCD13E28}"/>
    <hyperlink ref="J84" r:id="rId212" display="3,485.00" xr:uid="{61BC69A7-38E5-4FE0-863E-579E2379C4AD}"/>
    <hyperlink ref="L84" r:id="rId213" display="3,697.00" xr:uid="{5469429B-2BA5-4861-8959-93F8B2B0AD12}"/>
    <hyperlink ref="N84" r:id="rId214" display="3,334.00" xr:uid="{7637B022-0BA9-471D-9BAA-7283033F469F}"/>
    <hyperlink ref="D88" r:id="rId215" display="13.7" xr:uid="{FA24B409-88A7-47D4-9189-D6F48293B5B8}"/>
    <hyperlink ref="F88" r:id="rId216" display="13.2" xr:uid="{ADCF4752-7310-4C08-BEB8-15DF50D5C187}"/>
    <hyperlink ref="H88" r:id="rId217" display="18.8" xr:uid="{4445BE48-79EB-4027-8A25-0B24DF8F3820}"/>
    <hyperlink ref="J88" r:id="rId218" display="20" xr:uid="{71A8346F-D513-455D-893F-7DADF827637A}"/>
    <hyperlink ref="L88" r:id="rId219" display="22" xr:uid="{5D8286E7-A932-4A93-9E41-F72A41732AD5}"/>
    <hyperlink ref="N88" r:id="rId220" display="-4" xr:uid="{DF000969-F14F-44BF-9C01-ABA5491EE74A}"/>
    <hyperlink ref="D91" r:id="rId221" display="4,372.70" xr:uid="{4EF8DFC9-4C89-4783-8734-44CCC7B48C40}"/>
    <hyperlink ref="F91" r:id="rId222" display="4,991.50" xr:uid="{76C3237E-097E-4241-9AFE-56068FBB4535}"/>
    <hyperlink ref="H91" r:id="rId223" display="5,200.40" xr:uid="{FB8F061B-5604-4287-813B-30AD9D2BC00F}"/>
    <hyperlink ref="J91" r:id="rId224" display="5,341.00" xr:uid="{F2C67718-D512-4078-BA28-9BD2A5516AAE}"/>
    <hyperlink ref="L91" r:id="rId225" display="5,410.00" xr:uid="{A63B59F2-5DBC-485A-8BD8-D2F8EA237709}"/>
    <hyperlink ref="N91" r:id="rId226" display="5,003.00" xr:uid="{EE50BC04-C176-4BA1-915C-E23386B2565D}"/>
    <hyperlink ref="D93" r:id="rId227" display="125.3" xr:uid="{4B2F0468-A281-49E2-823C-CA207EED312D}"/>
    <hyperlink ref="F93" r:id="rId228" display="142.4" xr:uid="{FB9D90DB-B55F-40C4-ACF4-BD03F842EA1D}"/>
    <hyperlink ref="H93" r:id="rId229" display="136.3" xr:uid="{AF91393D-F4E5-4E77-9608-90D363D5AC2F}"/>
    <hyperlink ref="J93" r:id="rId230" display="128" xr:uid="{A37D1269-1C9E-4904-88E2-86910FE4BCC7}"/>
    <hyperlink ref="L93" r:id="rId231" display="134" xr:uid="{543028F0-0D53-4DBF-917C-D0766ED2D081}"/>
    <hyperlink ref="N93" r:id="rId232" display="149" xr:uid="{EBF9D18A-6A04-4D76-980F-9A0869D0C3DC}"/>
    <hyperlink ref="D96" r:id="rId233" display="4,498.00" xr:uid="{864AEBE4-88DE-4541-B9F6-2BA773CF3D83}"/>
    <hyperlink ref="F96" r:id="rId234" display="5,133.90" xr:uid="{152E3C8A-7DA2-423C-823A-F6A2CEB5725F}"/>
    <hyperlink ref="H96" r:id="rId235" display="5,336.70" xr:uid="{9C7F029F-A4B4-4A41-8150-04B72C5E9B74}"/>
    <hyperlink ref="J96" r:id="rId236" display="5,469.00" xr:uid="{508D0679-969B-4580-A0F6-D60B2663F0E8}"/>
    <hyperlink ref="L96" r:id="rId237" display="5,544.00" xr:uid="{6ECE841F-A025-4DDD-A674-F304EAA7D429}"/>
    <hyperlink ref="N96" r:id="rId238" display="5,152.00" xr:uid="{E1CA640F-2716-4A00-9F94-BC18D0354829}"/>
    <hyperlink ref="D99" r:id="rId239" display="15,173.90" xr:uid="{33EEC5DA-5C97-4DB8-8029-2B63E5F2D52B}"/>
    <hyperlink ref="F99" r:id="rId240" display="16,593.60" xr:uid="{3DA3BE27-D21C-4172-A4E7-2EB0A5BFD97F}"/>
    <hyperlink ref="H99" r:id="rId241" display="16,483.70" xr:uid="{4C1F9B6E-3702-4C70-B032-15AAC8D319DF}"/>
    <hyperlink ref="J99" r:id="rId242" display="16,790.00" xr:uid="{688483EE-251F-4B01-B146-5B50E9962E97}"/>
    <hyperlink ref="L99" r:id="rId243" display="17,019.00" xr:uid="{D30A12E1-82C1-4FD0-BDAF-C7841D33D73B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11AE0-96CB-4F0E-A3FD-5B1F2F86BABF}">
  <dimension ref="A1:Q112"/>
  <sheetViews>
    <sheetView topLeftCell="A37" workbookViewId="0">
      <selection activeCell="Q56" sqref="Q56"/>
    </sheetView>
  </sheetViews>
  <sheetFormatPr defaultRowHeight="14.25"/>
  <sheetData>
    <row r="1" spans="1:10" ht="100.5" customHeight="1">
      <c r="E1" s="89" t="s">
        <v>114</v>
      </c>
      <c r="F1" s="88" t="s">
        <v>115</v>
      </c>
      <c r="G1" s="88" t="s">
        <v>116</v>
      </c>
      <c r="H1" s="88" t="s">
        <v>117</v>
      </c>
      <c r="I1" s="88" t="s">
        <v>118</v>
      </c>
      <c r="J1" s="88" t="s">
        <v>119</v>
      </c>
    </row>
    <row r="2" spans="1:10">
      <c r="A2" s="66"/>
      <c r="B2" s="27"/>
      <c r="C2" s="26" t="s">
        <v>77</v>
      </c>
      <c r="D2" s="27"/>
      <c r="E2" s="26" t="s">
        <v>78</v>
      </c>
      <c r="F2" s="26" t="s">
        <v>78</v>
      </c>
      <c r="G2" s="26" t="s">
        <v>78</v>
      </c>
      <c r="H2" s="26" t="s">
        <v>78</v>
      </c>
      <c r="I2" s="67" t="s">
        <v>78</v>
      </c>
      <c r="J2" s="28" t="s">
        <v>78</v>
      </c>
    </row>
    <row r="3" spans="1:10">
      <c r="A3" s="69"/>
      <c r="B3" s="34"/>
      <c r="C3" s="33"/>
      <c r="D3" s="34"/>
      <c r="E3" s="52">
        <v>28268.3</v>
      </c>
      <c r="F3" s="52">
        <v>30162.400000000001</v>
      </c>
      <c r="G3" s="52">
        <v>30478.1</v>
      </c>
      <c r="H3" s="52">
        <v>30733</v>
      </c>
      <c r="I3" s="70">
        <v>31277</v>
      </c>
      <c r="J3" s="53">
        <v>31950</v>
      </c>
    </row>
    <row r="4" spans="1:10">
      <c r="A4" s="71"/>
      <c r="B4" s="40"/>
      <c r="C4" s="39" t="s">
        <v>2</v>
      </c>
      <c r="D4" s="40"/>
      <c r="E4" s="41"/>
      <c r="F4" s="41"/>
      <c r="G4" s="41"/>
      <c r="H4" s="41"/>
      <c r="I4" s="72"/>
      <c r="J4" s="43"/>
    </row>
    <row r="5" spans="1:10">
      <c r="A5" s="69"/>
      <c r="B5" s="34"/>
      <c r="C5" s="39" t="s">
        <v>120</v>
      </c>
      <c r="D5" s="34"/>
      <c r="E5" s="35">
        <v>67.3</v>
      </c>
      <c r="F5" s="35">
        <v>109.8</v>
      </c>
      <c r="G5" s="35">
        <v>103.8</v>
      </c>
      <c r="H5" s="35">
        <v>67</v>
      </c>
      <c r="I5" s="73">
        <v>83</v>
      </c>
      <c r="J5" s="37">
        <v>79</v>
      </c>
    </row>
    <row r="6" spans="1:10">
      <c r="A6" s="69"/>
      <c r="B6" s="34"/>
      <c r="C6" s="33"/>
      <c r="D6" s="34"/>
      <c r="E6" s="44"/>
      <c r="F6" s="44"/>
      <c r="G6" s="44"/>
      <c r="H6" s="44"/>
      <c r="I6" s="74"/>
      <c r="J6" s="45"/>
    </row>
    <row r="7" spans="1:10">
      <c r="A7" s="71"/>
      <c r="B7" s="40"/>
      <c r="C7" s="46" t="s">
        <v>121</v>
      </c>
      <c r="D7" s="40"/>
      <c r="E7" s="58">
        <v>28335.599999999999</v>
      </c>
      <c r="F7" s="58">
        <v>30272.2</v>
      </c>
      <c r="G7" s="58">
        <v>30581.9</v>
      </c>
      <c r="H7" s="58">
        <v>30800</v>
      </c>
      <c r="I7" s="75">
        <v>31360</v>
      </c>
      <c r="J7" s="59">
        <v>32029</v>
      </c>
    </row>
    <row r="8" spans="1:10">
      <c r="A8" s="69"/>
      <c r="B8" s="34"/>
      <c r="C8" s="39" t="s">
        <v>122</v>
      </c>
      <c r="D8" s="34"/>
      <c r="E8" s="52">
        <v>21069</v>
      </c>
      <c r="F8" s="52">
        <v>22502.7</v>
      </c>
      <c r="G8" s="52">
        <v>22685.4</v>
      </c>
      <c r="H8" s="52">
        <v>22662</v>
      </c>
      <c r="I8" s="70">
        <v>22895</v>
      </c>
      <c r="J8" s="53">
        <v>23286</v>
      </c>
    </row>
    <row r="9" spans="1:10">
      <c r="A9" s="71"/>
      <c r="B9" s="40"/>
      <c r="C9" s="46" t="s">
        <v>4</v>
      </c>
      <c r="D9" s="40"/>
      <c r="E9" s="58">
        <v>7266.6</v>
      </c>
      <c r="F9" s="58">
        <v>7769.5</v>
      </c>
      <c r="G9" s="58">
        <v>7896.5</v>
      </c>
      <c r="H9" s="58">
        <v>8138</v>
      </c>
      <c r="I9" s="75">
        <v>8465</v>
      </c>
      <c r="J9" s="59">
        <v>8743</v>
      </c>
    </row>
    <row r="10" spans="1:10">
      <c r="A10" s="69"/>
      <c r="B10" s="34"/>
      <c r="C10" s="39" t="s">
        <v>123</v>
      </c>
      <c r="D10" s="34"/>
      <c r="E10" s="52">
        <v>6010.7</v>
      </c>
      <c r="F10" s="52">
        <v>6491.1</v>
      </c>
      <c r="G10" s="52">
        <v>6703.7</v>
      </c>
      <c r="H10" s="52">
        <v>6998</v>
      </c>
      <c r="I10" s="70">
        <v>7246</v>
      </c>
      <c r="J10" s="53">
        <v>7467</v>
      </c>
    </row>
    <row r="11" spans="1:10">
      <c r="A11" s="69"/>
      <c r="B11" s="34"/>
      <c r="C11" s="39" t="s">
        <v>124</v>
      </c>
      <c r="D11" s="34"/>
      <c r="E11" s="55" t="s">
        <v>86</v>
      </c>
      <c r="F11" s="55" t="s">
        <v>86</v>
      </c>
      <c r="G11" s="55" t="s">
        <v>86</v>
      </c>
      <c r="H11" s="55" t="s">
        <v>86</v>
      </c>
      <c r="I11" s="78" t="s">
        <v>86</v>
      </c>
      <c r="J11" s="57" t="s">
        <v>86</v>
      </c>
    </row>
    <row r="12" spans="1:10">
      <c r="A12" s="69"/>
      <c r="B12" s="34"/>
      <c r="C12" s="39" t="s">
        <v>125</v>
      </c>
      <c r="D12" s="34"/>
      <c r="E12" s="55" t="s">
        <v>86</v>
      </c>
      <c r="F12" s="55" t="s">
        <v>86</v>
      </c>
      <c r="G12" s="55" t="s">
        <v>86</v>
      </c>
      <c r="H12" s="55" t="s">
        <v>86</v>
      </c>
      <c r="I12" s="78" t="s">
        <v>86</v>
      </c>
      <c r="J12" s="57" t="s">
        <v>86</v>
      </c>
    </row>
    <row r="13" spans="1:10">
      <c r="A13" s="69"/>
      <c r="B13" s="34"/>
      <c r="C13" s="39" t="s">
        <v>126</v>
      </c>
      <c r="D13" s="34"/>
      <c r="E13" s="55" t="s">
        <v>86</v>
      </c>
      <c r="F13" s="35">
        <v>-47</v>
      </c>
      <c r="G13" s="55" t="s">
        <v>86</v>
      </c>
      <c r="H13" s="55" t="s">
        <v>86</v>
      </c>
      <c r="I13" s="78" t="s">
        <v>86</v>
      </c>
      <c r="J13" s="57" t="s">
        <v>86</v>
      </c>
    </row>
    <row r="14" spans="1:10">
      <c r="A14" s="71"/>
      <c r="B14" s="40"/>
      <c r="C14" s="46" t="s">
        <v>127</v>
      </c>
      <c r="D14" s="40"/>
      <c r="E14" s="58">
        <v>6010.7</v>
      </c>
      <c r="F14" s="58">
        <v>6444.1</v>
      </c>
      <c r="G14" s="58">
        <v>6703.7</v>
      </c>
      <c r="H14" s="58">
        <v>6998</v>
      </c>
      <c r="I14" s="75">
        <v>7246</v>
      </c>
      <c r="J14" s="59">
        <v>7467</v>
      </c>
    </row>
    <row r="15" spans="1:10">
      <c r="A15" s="69"/>
      <c r="B15" s="34"/>
      <c r="C15" s="46" t="s">
        <v>5</v>
      </c>
      <c r="D15" s="34"/>
      <c r="E15" s="52">
        <v>1255.9000000000001</v>
      </c>
      <c r="F15" s="52">
        <v>1325.4</v>
      </c>
      <c r="G15" s="52">
        <v>1192.8</v>
      </c>
      <c r="H15" s="52">
        <v>1140</v>
      </c>
      <c r="I15" s="70">
        <v>1219</v>
      </c>
      <c r="J15" s="53">
        <v>1276</v>
      </c>
    </row>
    <row r="16" spans="1:10">
      <c r="A16" s="69"/>
      <c r="B16" s="34"/>
      <c r="C16" s="39" t="s">
        <v>128</v>
      </c>
      <c r="D16" s="34"/>
      <c r="E16" s="35">
        <v>-292.8</v>
      </c>
      <c r="F16" s="35">
        <v>-301.89999999999998</v>
      </c>
      <c r="G16" s="35">
        <v>-284</v>
      </c>
      <c r="H16" s="35">
        <v>-304</v>
      </c>
      <c r="I16" s="73">
        <v>-319</v>
      </c>
      <c r="J16" s="37">
        <v>-315</v>
      </c>
    </row>
    <row r="17" spans="1:10">
      <c r="A17" s="69"/>
      <c r="B17" s="34"/>
      <c r="C17" s="39" t="s">
        <v>129</v>
      </c>
      <c r="D17" s="34"/>
      <c r="E17" s="35">
        <v>29.5</v>
      </c>
      <c r="F17" s="35">
        <v>26.1</v>
      </c>
      <c r="G17" s="35">
        <v>23.8</v>
      </c>
      <c r="H17" s="35">
        <v>27</v>
      </c>
      <c r="I17" s="73">
        <v>26</v>
      </c>
      <c r="J17" s="37">
        <v>33</v>
      </c>
    </row>
    <row r="18" spans="1:10">
      <c r="A18" s="71"/>
      <c r="B18" s="40"/>
      <c r="D18" s="40"/>
      <c r="E18" s="41"/>
      <c r="F18" s="41"/>
      <c r="G18" s="41"/>
      <c r="H18" s="41"/>
      <c r="I18" s="72"/>
      <c r="J18" s="43"/>
    </row>
    <row r="19" spans="1:10">
      <c r="A19" s="71"/>
      <c r="B19" s="40"/>
      <c r="C19" s="46" t="s">
        <v>130</v>
      </c>
      <c r="D19" s="40"/>
      <c r="E19" s="47">
        <v>-263.3</v>
      </c>
      <c r="F19" s="47">
        <v>-275.8</v>
      </c>
      <c r="G19" s="47">
        <v>-260.2</v>
      </c>
      <c r="H19" s="47">
        <v>-277</v>
      </c>
      <c r="I19" s="79">
        <v>-293</v>
      </c>
      <c r="J19" s="48">
        <v>-282</v>
      </c>
    </row>
    <row r="20" spans="1:10">
      <c r="A20" s="66"/>
      <c r="B20" s="27"/>
      <c r="C20" s="30"/>
      <c r="D20" s="27"/>
      <c r="E20" s="49"/>
      <c r="F20" s="49"/>
      <c r="G20" s="49"/>
      <c r="H20" s="49"/>
      <c r="I20" s="76"/>
      <c r="J20" s="51"/>
    </row>
    <row r="21" spans="1:10">
      <c r="A21" s="69"/>
      <c r="B21" s="34"/>
      <c r="C21" s="39" t="s">
        <v>131</v>
      </c>
      <c r="D21" s="34"/>
      <c r="E21" s="35">
        <v>2</v>
      </c>
      <c r="F21" s="35">
        <v>1.5</v>
      </c>
      <c r="G21" s="35">
        <v>1</v>
      </c>
      <c r="H21" s="35">
        <v>19</v>
      </c>
      <c r="I21" s="73">
        <v>6</v>
      </c>
      <c r="J21" s="37">
        <v>11</v>
      </c>
    </row>
    <row r="22" spans="1:10">
      <c r="A22" s="71"/>
      <c r="B22" s="40"/>
      <c r="C22" s="46" t="s">
        <v>132</v>
      </c>
      <c r="D22" s="40"/>
      <c r="E22" s="47">
        <v>994.6</v>
      </c>
      <c r="F22" s="58">
        <v>1051.0999999999999</v>
      </c>
      <c r="G22" s="47">
        <v>933.6</v>
      </c>
      <c r="H22" s="47">
        <v>882</v>
      </c>
      <c r="I22" s="79">
        <v>932</v>
      </c>
      <c r="J22" s="59">
        <v>1005</v>
      </c>
    </row>
    <row r="23" spans="1:10">
      <c r="A23" s="66"/>
      <c r="B23" s="27"/>
      <c r="C23" s="30"/>
      <c r="D23" s="27"/>
      <c r="E23" s="49"/>
      <c r="F23" s="49"/>
      <c r="G23" s="49"/>
      <c r="H23" s="49"/>
      <c r="I23" s="76"/>
      <c r="J23" s="51"/>
    </row>
    <row r="24" spans="1:10">
      <c r="A24" s="69"/>
      <c r="B24" s="34"/>
      <c r="C24" s="39" t="s">
        <v>133</v>
      </c>
      <c r="D24" s="34"/>
      <c r="E24" s="55" t="s">
        <v>86</v>
      </c>
      <c r="F24" s="55" t="s">
        <v>86</v>
      </c>
      <c r="G24" s="55" t="s">
        <v>86</v>
      </c>
      <c r="H24" s="55" t="s">
        <v>86</v>
      </c>
      <c r="I24" s="78" t="s">
        <v>86</v>
      </c>
      <c r="J24" s="57" t="s">
        <v>86</v>
      </c>
    </row>
    <row r="25" spans="1:10">
      <c r="A25" s="69"/>
      <c r="B25" s="34"/>
      <c r="C25" s="39" t="s">
        <v>134</v>
      </c>
      <c r="D25" s="34"/>
      <c r="E25" s="35">
        <v>37.1</v>
      </c>
      <c r="F25" s="35">
        <v>23.1</v>
      </c>
      <c r="G25" s="35">
        <v>44.7</v>
      </c>
      <c r="H25" s="35">
        <v>108</v>
      </c>
      <c r="I25" s="73">
        <v>57</v>
      </c>
      <c r="J25" s="37">
        <v>38</v>
      </c>
    </row>
    <row r="26" spans="1:10">
      <c r="A26" s="69"/>
      <c r="B26" s="34"/>
      <c r="C26" s="39" t="s">
        <v>135</v>
      </c>
      <c r="D26" s="34"/>
      <c r="E26" s="35">
        <v>-1.6</v>
      </c>
      <c r="F26" s="35">
        <v>7.4</v>
      </c>
      <c r="G26" s="35">
        <v>-12.9</v>
      </c>
      <c r="H26" s="55" t="s">
        <v>86</v>
      </c>
      <c r="I26" s="73">
        <v>-12</v>
      </c>
      <c r="J26" s="37">
        <v>-747</v>
      </c>
    </row>
    <row r="27" spans="1:10">
      <c r="A27" s="69"/>
      <c r="B27" s="34"/>
      <c r="C27" s="39" t="s">
        <v>136</v>
      </c>
      <c r="D27" s="34"/>
      <c r="E27" s="55" t="s">
        <v>86</v>
      </c>
      <c r="F27" s="55" t="s">
        <v>86</v>
      </c>
      <c r="G27" s="55" t="s">
        <v>86</v>
      </c>
      <c r="H27" s="35">
        <v>39</v>
      </c>
      <c r="I27" s="73">
        <v>18</v>
      </c>
      <c r="J27" s="37">
        <v>12</v>
      </c>
    </row>
    <row r="28" spans="1:10">
      <c r="A28" s="71"/>
      <c r="B28" s="40"/>
      <c r="C28" s="46" t="s">
        <v>137</v>
      </c>
      <c r="D28" s="40"/>
      <c r="E28" s="58">
        <v>1030.0999999999999</v>
      </c>
      <c r="F28" s="58">
        <v>1081.5999999999999</v>
      </c>
      <c r="G28" s="47">
        <v>965.4</v>
      </c>
      <c r="H28" s="58">
        <v>1029</v>
      </c>
      <c r="I28" s="79">
        <v>995</v>
      </c>
      <c r="J28" s="48">
        <v>308</v>
      </c>
    </row>
    <row r="29" spans="1:10">
      <c r="A29" s="66"/>
      <c r="B29" s="27"/>
      <c r="C29" s="30"/>
      <c r="D29" s="27"/>
      <c r="E29" s="49"/>
      <c r="F29" s="49"/>
      <c r="G29" s="49"/>
      <c r="H29" s="49"/>
      <c r="I29" s="76"/>
      <c r="J29" s="51"/>
    </row>
    <row r="30" spans="1:10">
      <c r="A30" s="69"/>
      <c r="B30" s="34"/>
      <c r="C30" s="39" t="s">
        <v>8</v>
      </c>
      <c r="D30" s="34"/>
      <c r="E30" s="35">
        <v>265.89999999999998</v>
      </c>
      <c r="F30" s="35">
        <v>270.3</v>
      </c>
      <c r="G30" s="35">
        <v>237.7</v>
      </c>
      <c r="H30" s="35">
        <v>266</v>
      </c>
      <c r="I30" s="73">
        <v>249</v>
      </c>
      <c r="J30" s="37">
        <v>62</v>
      </c>
    </row>
    <row r="31" spans="1:10">
      <c r="A31" s="71"/>
      <c r="B31" s="40"/>
      <c r="C31" s="46" t="s">
        <v>138</v>
      </c>
      <c r="D31" s="40"/>
      <c r="E31" s="47">
        <v>764.2</v>
      </c>
      <c r="F31" s="47">
        <v>811.3</v>
      </c>
      <c r="G31" s="47">
        <v>727.7</v>
      </c>
      <c r="H31" s="47">
        <v>763</v>
      </c>
      <c r="I31" s="79">
        <v>746</v>
      </c>
      <c r="J31" s="48">
        <v>246</v>
      </c>
    </row>
    <row r="32" spans="1:10">
      <c r="A32" s="66"/>
      <c r="B32" s="27"/>
      <c r="C32" s="30"/>
      <c r="D32" s="27"/>
      <c r="E32" s="49"/>
      <c r="F32" s="49"/>
      <c r="G32" s="49"/>
      <c r="H32" s="49"/>
      <c r="I32" s="76"/>
      <c r="J32" s="51"/>
    </row>
    <row r="33" spans="1:17">
      <c r="A33" s="69"/>
      <c r="B33" s="34"/>
      <c r="C33" s="39" t="s">
        <v>139</v>
      </c>
      <c r="D33" s="34"/>
      <c r="E33" s="55" t="s">
        <v>86</v>
      </c>
      <c r="F33" s="55" t="s">
        <v>86</v>
      </c>
      <c r="G33" s="55" t="s">
        <v>86</v>
      </c>
      <c r="H33" s="55" t="s">
        <v>86</v>
      </c>
      <c r="I33" s="78" t="s">
        <v>86</v>
      </c>
      <c r="J33" s="57" t="s">
        <v>86</v>
      </c>
    </row>
    <row r="34" spans="1:17">
      <c r="A34" s="69"/>
      <c r="B34" s="34"/>
      <c r="C34" s="39" t="s">
        <v>140</v>
      </c>
      <c r="D34" s="34"/>
      <c r="E34" s="55" t="s">
        <v>86</v>
      </c>
      <c r="F34" s="55" t="s">
        <v>86</v>
      </c>
      <c r="G34" s="55" t="s">
        <v>86</v>
      </c>
      <c r="H34" s="55" t="s">
        <v>86</v>
      </c>
      <c r="I34" s="78" t="s">
        <v>86</v>
      </c>
      <c r="J34" s="57" t="s">
        <v>86</v>
      </c>
    </row>
    <row r="35" spans="1:17">
      <c r="A35" s="71"/>
      <c r="B35" s="40"/>
      <c r="C35" s="46" t="s">
        <v>141</v>
      </c>
      <c r="D35" s="40"/>
      <c r="E35" s="47">
        <v>764.2</v>
      </c>
      <c r="F35" s="47">
        <v>811.3</v>
      </c>
      <c r="G35" s="47">
        <v>727.7</v>
      </c>
      <c r="H35" s="47">
        <v>763</v>
      </c>
      <c r="I35" s="79">
        <v>746</v>
      </c>
      <c r="J35" s="48">
        <v>246</v>
      </c>
    </row>
    <row r="36" spans="1:17">
      <c r="A36" s="66"/>
      <c r="B36" s="27"/>
      <c r="C36" s="30"/>
      <c r="D36" s="27"/>
      <c r="E36" s="49"/>
      <c r="F36" s="49"/>
      <c r="G36" s="49"/>
      <c r="H36" s="49"/>
      <c r="I36" s="76"/>
      <c r="J36" s="51"/>
    </row>
    <row r="37" spans="1:17">
      <c r="A37" s="69"/>
      <c r="B37" s="34"/>
      <c r="C37" s="33"/>
      <c r="D37" s="34"/>
      <c r="E37" s="35">
        <v>-62.7</v>
      </c>
      <c r="F37" s="35">
        <v>-65.5</v>
      </c>
      <c r="G37" s="35">
        <v>-41.7</v>
      </c>
      <c r="H37" s="35">
        <v>-37</v>
      </c>
      <c r="I37" s="73">
        <v>-46</v>
      </c>
      <c r="J37" s="37">
        <v>-48</v>
      </c>
    </row>
    <row r="38" spans="1:17">
      <c r="A38" s="71"/>
      <c r="B38" s="40"/>
      <c r="C38" s="39" t="s">
        <v>142</v>
      </c>
      <c r="D38" s="40"/>
      <c r="E38" s="41"/>
      <c r="F38" s="41"/>
      <c r="G38" s="41"/>
      <c r="H38" s="41"/>
      <c r="I38" s="72"/>
      <c r="J38" s="43"/>
    </row>
    <row r="39" spans="1:17">
      <c r="A39" s="69"/>
      <c r="B39" s="34"/>
      <c r="C39" s="33"/>
      <c r="D39" s="34"/>
      <c r="E39" s="44"/>
      <c r="F39" s="44"/>
      <c r="G39" s="44"/>
      <c r="H39" s="44"/>
      <c r="I39" s="74"/>
      <c r="J39" s="45"/>
      <c r="L39">
        <v>2021</v>
      </c>
      <c r="M39">
        <v>2022</v>
      </c>
      <c r="N39">
        <v>2023</v>
      </c>
      <c r="O39">
        <v>2024</v>
      </c>
      <c r="P39">
        <v>2025</v>
      </c>
      <c r="Q39">
        <v>2026</v>
      </c>
    </row>
    <row r="40" spans="1:17">
      <c r="A40" s="71"/>
      <c r="B40" s="40"/>
      <c r="C40" s="46" t="s">
        <v>9</v>
      </c>
      <c r="D40" s="40"/>
      <c r="E40" s="47">
        <v>701.5</v>
      </c>
      <c r="F40" s="47">
        <v>745.8</v>
      </c>
      <c r="G40" s="47">
        <v>686</v>
      </c>
      <c r="H40" s="47">
        <v>726</v>
      </c>
      <c r="I40" s="79">
        <v>700</v>
      </c>
      <c r="J40" s="48">
        <v>198</v>
      </c>
      <c r="L40" s="94">
        <f>E40/E7</f>
        <v>2.4756842981973209E-2</v>
      </c>
      <c r="M40" s="94">
        <f>F40/F7</f>
        <v>2.4636465139633062E-2</v>
      </c>
      <c r="N40" s="94">
        <f>G40/G7</f>
        <v>2.2431568999964031E-2</v>
      </c>
      <c r="O40" s="94">
        <f>H40/H7</f>
        <v>2.3571428571428573E-2</v>
      </c>
      <c r="P40" s="94">
        <f>I40/I7</f>
        <v>2.2321428571428572E-2</v>
      </c>
      <c r="Q40" s="94">
        <f>J40/J7</f>
        <v>6.1818976552499294E-3</v>
      </c>
    </row>
    <row r="41" spans="1:17">
      <c r="A41" s="66"/>
      <c r="B41" s="27"/>
      <c r="C41" s="30"/>
      <c r="D41" s="27"/>
      <c r="E41" s="49"/>
      <c r="F41" s="49"/>
      <c r="G41" s="49"/>
      <c r="H41" s="49"/>
      <c r="I41" s="76"/>
      <c r="J41" s="51"/>
    </row>
    <row r="42" spans="1:17">
      <c r="A42" s="69"/>
      <c r="B42" s="34"/>
      <c r="C42" s="33"/>
      <c r="D42" s="34"/>
      <c r="E42" s="55" t="s">
        <v>86</v>
      </c>
      <c r="F42" s="55" t="s">
        <v>86</v>
      </c>
      <c r="G42" s="55" t="s">
        <v>86</v>
      </c>
      <c r="H42" s="55" t="s">
        <v>86</v>
      </c>
      <c r="I42" s="78" t="s">
        <v>86</v>
      </c>
      <c r="J42" s="57" t="s">
        <v>86</v>
      </c>
    </row>
    <row r="43" spans="1:17">
      <c r="A43" s="71"/>
      <c r="B43" s="40"/>
      <c r="C43" s="39" t="s">
        <v>143</v>
      </c>
      <c r="D43" s="40"/>
      <c r="E43" s="41"/>
      <c r="F43" s="41"/>
      <c r="G43" s="41"/>
      <c r="H43" s="41"/>
      <c r="I43" s="72"/>
      <c r="J43" s="43"/>
    </row>
    <row r="44" spans="1:17">
      <c r="A44" s="66"/>
      <c r="B44" s="27"/>
      <c r="C44" s="30"/>
      <c r="D44" s="27"/>
      <c r="E44" s="49"/>
      <c r="F44" s="49"/>
      <c r="G44" s="49"/>
      <c r="H44" s="49"/>
      <c r="I44" s="76"/>
      <c r="J44" s="51"/>
    </row>
    <row r="45" spans="1:17">
      <c r="A45" s="69"/>
      <c r="B45" s="34"/>
      <c r="C45" s="33"/>
      <c r="D45" s="34"/>
      <c r="E45" s="35">
        <v>701.5</v>
      </c>
      <c r="F45" s="35">
        <v>745.8</v>
      </c>
      <c r="G45" s="35">
        <v>686</v>
      </c>
      <c r="H45" s="35">
        <v>726</v>
      </c>
      <c r="I45" s="73">
        <v>700</v>
      </c>
      <c r="J45" s="37">
        <v>198</v>
      </c>
    </row>
    <row r="46" spans="1:17">
      <c r="A46" s="71"/>
      <c r="B46" s="40"/>
      <c r="C46" s="46" t="s">
        <v>144</v>
      </c>
      <c r="D46" s="40"/>
      <c r="E46" s="41"/>
      <c r="F46" s="41"/>
      <c r="G46" s="41"/>
      <c r="H46" s="41"/>
      <c r="I46" s="72"/>
      <c r="J46" s="43"/>
    </row>
    <row r="47" spans="1:17">
      <c r="A47" s="69"/>
      <c r="B47" s="34"/>
      <c r="C47" s="33"/>
      <c r="D47" s="34"/>
      <c r="E47" s="35">
        <v>701.5</v>
      </c>
      <c r="F47" s="35">
        <v>745.8</v>
      </c>
      <c r="G47" s="35">
        <v>686</v>
      </c>
      <c r="H47" s="35">
        <v>726</v>
      </c>
      <c r="I47" s="73">
        <v>700</v>
      </c>
      <c r="J47" s="37">
        <v>198</v>
      </c>
    </row>
    <row r="48" spans="1:17">
      <c r="A48" s="71"/>
      <c r="B48" s="40"/>
      <c r="C48" s="46" t="s">
        <v>145</v>
      </c>
      <c r="D48" s="40"/>
      <c r="E48" s="41"/>
      <c r="F48" s="41"/>
      <c r="G48" s="41"/>
      <c r="H48" s="41"/>
      <c r="I48" s="72"/>
      <c r="J48" s="43"/>
    </row>
    <row r="49" spans="1:10">
      <c r="A49" s="66"/>
      <c r="B49" s="27"/>
      <c r="C49" s="30"/>
      <c r="D49" s="27"/>
      <c r="E49" s="49"/>
      <c r="F49" s="49"/>
      <c r="G49" s="49"/>
      <c r="H49" s="49"/>
      <c r="I49" s="76"/>
      <c r="J49" s="51"/>
    </row>
    <row r="50" spans="1:10">
      <c r="A50" s="66"/>
      <c r="B50" s="27"/>
      <c r="C50" s="29" t="s">
        <v>146</v>
      </c>
      <c r="D50" s="27"/>
      <c r="E50" s="30"/>
      <c r="F50" s="30"/>
      <c r="G50" s="30"/>
      <c r="H50" s="30"/>
      <c r="I50" s="68"/>
      <c r="J50" s="31"/>
    </row>
    <row r="51" spans="1:10">
      <c r="A51" s="69"/>
      <c r="B51" s="34"/>
      <c r="C51" s="33"/>
      <c r="D51" s="34"/>
      <c r="E51" s="80">
        <v>2.61</v>
      </c>
      <c r="F51" s="80">
        <v>2.81</v>
      </c>
      <c r="G51" s="80">
        <v>2.65</v>
      </c>
      <c r="H51" s="80">
        <v>2.93</v>
      </c>
      <c r="I51" s="81">
        <v>2.94</v>
      </c>
      <c r="J51" s="82">
        <v>0.86</v>
      </c>
    </row>
    <row r="52" spans="1:10">
      <c r="A52" s="71"/>
      <c r="B52" s="40"/>
      <c r="C52" s="39" t="s">
        <v>147</v>
      </c>
      <c r="D52" s="40"/>
      <c r="E52" s="41"/>
      <c r="F52" s="41"/>
      <c r="G52" s="41"/>
      <c r="H52" s="41"/>
      <c r="I52" s="72"/>
      <c r="J52" s="43"/>
    </row>
    <row r="53" spans="1:10">
      <c r="A53" s="69"/>
      <c r="B53" s="34"/>
      <c r="C53" s="33"/>
      <c r="D53" s="34"/>
      <c r="E53" s="35">
        <v>2.61</v>
      </c>
      <c r="F53" s="35">
        <v>2.81</v>
      </c>
      <c r="G53" s="35">
        <v>2.65</v>
      </c>
      <c r="H53" s="35">
        <v>2.93</v>
      </c>
      <c r="I53" s="73">
        <v>2.94</v>
      </c>
      <c r="J53" s="37">
        <v>0.86</v>
      </c>
    </row>
    <row r="54" spans="1:10">
      <c r="A54" s="71"/>
      <c r="B54" s="40"/>
      <c r="C54" s="39" t="s">
        <v>148</v>
      </c>
      <c r="D54" s="40"/>
      <c r="E54" s="41"/>
      <c r="F54" s="41"/>
      <c r="G54" s="41"/>
      <c r="H54" s="41"/>
      <c r="I54" s="72"/>
      <c r="J54" s="43"/>
    </row>
    <row r="55" spans="1:10">
      <c r="A55" s="69"/>
      <c r="B55" s="34"/>
      <c r="C55" s="33"/>
      <c r="D55" s="34"/>
      <c r="E55" s="54">
        <v>268.3</v>
      </c>
      <c r="F55" s="54">
        <v>265.2</v>
      </c>
      <c r="G55" s="54">
        <v>258.8</v>
      </c>
      <c r="H55" s="54">
        <v>248</v>
      </c>
      <c r="I55" s="77">
        <v>237.9</v>
      </c>
      <c r="J55" s="56">
        <v>229.7</v>
      </c>
    </row>
    <row r="56" spans="1:10">
      <c r="A56" s="71"/>
      <c r="B56" s="40"/>
      <c r="C56" s="39" t="s">
        <v>149</v>
      </c>
      <c r="D56" s="40"/>
      <c r="E56" s="41"/>
      <c r="F56" s="41"/>
      <c r="G56" s="41"/>
      <c r="H56" s="41"/>
      <c r="I56" s="72"/>
      <c r="J56" s="43"/>
    </row>
    <row r="57" spans="1:10">
      <c r="A57" s="66"/>
      <c r="B57" s="27"/>
      <c r="C57" s="30"/>
      <c r="D57" s="27"/>
      <c r="E57" s="49"/>
      <c r="F57" s="49"/>
      <c r="G57" s="49"/>
      <c r="H57" s="49"/>
      <c r="I57" s="76"/>
      <c r="J57" s="51"/>
    </row>
    <row r="58" spans="1:10">
      <c r="A58" s="69"/>
      <c r="B58" s="34"/>
      <c r="C58" s="33"/>
      <c r="D58" s="34"/>
      <c r="E58" s="80">
        <v>2.6</v>
      </c>
      <c r="F58" s="80">
        <v>2.8</v>
      </c>
      <c r="G58" s="80">
        <v>2.64</v>
      </c>
      <c r="H58" s="80">
        <v>2.92</v>
      </c>
      <c r="I58" s="81">
        <v>2.93</v>
      </c>
      <c r="J58" s="82">
        <v>0.86</v>
      </c>
    </row>
    <row r="59" spans="1:10">
      <c r="A59" s="71"/>
      <c r="B59" s="40"/>
      <c r="C59" s="39" t="s">
        <v>150</v>
      </c>
      <c r="D59" s="40"/>
      <c r="E59" s="41"/>
      <c r="F59" s="41"/>
      <c r="G59" s="41"/>
      <c r="H59" s="41"/>
      <c r="I59" s="72"/>
      <c r="J59" s="43"/>
    </row>
    <row r="60" spans="1:10">
      <c r="A60" s="69"/>
      <c r="B60" s="34"/>
      <c r="C60" s="33"/>
      <c r="D60" s="34"/>
      <c r="E60" s="35">
        <v>2.6</v>
      </c>
      <c r="F60" s="35">
        <v>2.8</v>
      </c>
      <c r="G60" s="35">
        <v>2.64</v>
      </c>
      <c r="H60" s="35">
        <v>2.92</v>
      </c>
      <c r="I60" s="73">
        <v>2.93</v>
      </c>
      <c r="J60" s="37">
        <v>0.86</v>
      </c>
    </row>
    <row r="61" spans="1:10">
      <c r="A61" s="71"/>
      <c r="B61" s="40"/>
      <c r="C61" s="39" t="s">
        <v>151</v>
      </c>
      <c r="D61" s="40"/>
      <c r="E61" s="41"/>
      <c r="F61" s="41"/>
      <c r="G61" s="41"/>
      <c r="H61" s="41"/>
      <c r="I61" s="72"/>
      <c r="J61" s="43"/>
    </row>
    <row r="62" spans="1:10">
      <c r="A62" s="69"/>
      <c r="B62" s="34"/>
      <c r="C62" s="33"/>
      <c r="D62" s="34"/>
      <c r="E62" s="54">
        <v>269.3</v>
      </c>
      <c r="F62" s="54">
        <v>266.2</v>
      </c>
      <c r="G62" s="54">
        <v>259.39999999999998</v>
      </c>
      <c r="H62" s="54">
        <v>248.4</v>
      </c>
      <c r="I62" s="77">
        <v>238.6</v>
      </c>
      <c r="J62" s="56">
        <v>230.4</v>
      </c>
    </row>
    <row r="63" spans="1:10">
      <c r="A63" s="71"/>
      <c r="B63" s="40"/>
      <c r="C63" s="39" t="s">
        <v>152</v>
      </c>
      <c r="D63" s="40"/>
      <c r="E63" s="41"/>
      <c r="F63" s="41"/>
      <c r="G63" s="41"/>
      <c r="H63" s="41"/>
      <c r="I63" s="72"/>
      <c r="J63" s="43"/>
    </row>
    <row r="64" spans="1:10">
      <c r="A64" s="66"/>
      <c r="B64" s="27"/>
      <c r="C64" s="30"/>
      <c r="D64" s="27"/>
      <c r="E64" s="49"/>
      <c r="F64" s="49"/>
      <c r="G64" s="49"/>
      <c r="H64" s="49"/>
      <c r="I64" s="76"/>
      <c r="J64" s="51"/>
    </row>
    <row r="65" spans="1:10">
      <c r="A65" s="69"/>
      <c r="B65" s="34"/>
      <c r="C65" s="33"/>
      <c r="D65" s="34"/>
      <c r="E65" s="80">
        <v>2.08</v>
      </c>
      <c r="F65" s="80">
        <v>2.23</v>
      </c>
      <c r="G65" s="80">
        <v>2.09</v>
      </c>
      <c r="H65" s="80">
        <v>2.0699999999999998</v>
      </c>
      <c r="I65" s="81">
        <v>2.2599999999999998</v>
      </c>
      <c r="J65" s="82">
        <v>2.5299999999999998</v>
      </c>
    </row>
    <row r="66" spans="1:10">
      <c r="A66" s="71"/>
      <c r="B66" s="40"/>
      <c r="C66" s="39" t="s">
        <v>153</v>
      </c>
      <c r="D66" s="40"/>
      <c r="E66" s="41"/>
      <c r="F66" s="41"/>
      <c r="G66" s="41"/>
      <c r="H66" s="41"/>
      <c r="I66" s="72"/>
      <c r="J66" s="43"/>
    </row>
    <row r="67" spans="1:10">
      <c r="A67" s="69"/>
      <c r="B67" s="34"/>
      <c r="C67" s="33"/>
      <c r="D67" s="34"/>
      <c r="E67" s="35">
        <v>2.08</v>
      </c>
      <c r="F67" s="35">
        <v>2.2200000000000002</v>
      </c>
      <c r="G67" s="35">
        <v>2.09</v>
      </c>
      <c r="H67" s="35">
        <v>2.0699999999999998</v>
      </c>
      <c r="I67" s="73">
        <v>2.25</v>
      </c>
      <c r="J67" s="37">
        <v>2.52</v>
      </c>
    </row>
    <row r="68" spans="1:10">
      <c r="A68" s="71"/>
      <c r="B68" s="40"/>
      <c r="C68" s="39" t="s">
        <v>154</v>
      </c>
      <c r="D68" s="40"/>
      <c r="E68" s="41"/>
      <c r="F68" s="41"/>
      <c r="G68" s="41"/>
      <c r="H68" s="41"/>
      <c r="I68" s="72"/>
      <c r="J68" s="43"/>
    </row>
    <row r="69" spans="1:10">
      <c r="A69" s="66"/>
      <c r="B69" s="27"/>
      <c r="C69" s="30"/>
      <c r="D69" s="27"/>
      <c r="E69" s="49"/>
      <c r="F69" s="49"/>
      <c r="G69" s="49"/>
      <c r="H69" s="49"/>
      <c r="I69" s="76"/>
      <c r="J69" s="51"/>
    </row>
    <row r="70" spans="1:10">
      <c r="A70" s="69"/>
      <c r="B70" s="34"/>
      <c r="C70" s="33"/>
      <c r="D70" s="34"/>
      <c r="E70" s="80">
        <v>0.52</v>
      </c>
      <c r="F70" s="80">
        <v>0.6</v>
      </c>
      <c r="G70" s="80">
        <v>0.66</v>
      </c>
      <c r="H70" s="80">
        <v>0.73</v>
      </c>
      <c r="I70" s="81">
        <v>0.8</v>
      </c>
      <c r="J70" s="82">
        <v>0.88</v>
      </c>
    </row>
    <row r="71" spans="1:10">
      <c r="A71" s="71"/>
      <c r="B71" s="40"/>
      <c r="C71" s="39" t="s">
        <v>155</v>
      </c>
      <c r="D71" s="40"/>
      <c r="E71" s="41"/>
      <c r="F71" s="41"/>
      <c r="G71" s="41"/>
      <c r="H71" s="41"/>
      <c r="I71" s="72"/>
      <c r="J71" s="43"/>
    </row>
    <row r="72" spans="1:10">
      <c r="A72" s="69"/>
      <c r="B72" s="34"/>
      <c r="C72" s="33"/>
      <c r="D72" s="34"/>
      <c r="E72" s="83">
        <v>0.19900000000000001</v>
      </c>
      <c r="F72" s="83">
        <v>0.21</v>
      </c>
      <c r="G72" s="83">
        <v>0.248</v>
      </c>
      <c r="H72" s="83">
        <v>0.247</v>
      </c>
      <c r="I72" s="84">
        <v>0.27100000000000002</v>
      </c>
      <c r="J72" s="85">
        <v>1.0149999999999999</v>
      </c>
    </row>
    <row r="73" spans="1:10">
      <c r="A73" s="71"/>
      <c r="B73" s="40"/>
      <c r="C73" s="39" t="s">
        <v>156</v>
      </c>
      <c r="D73" s="40"/>
      <c r="E73" s="41"/>
      <c r="F73" s="41"/>
      <c r="G73" s="41"/>
      <c r="H73" s="41"/>
      <c r="I73" s="72"/>
      <c r="J73" s="43"/>
    </row>
    <row r="74" spans="1:10">
      <c r="A74" s="66"/>
      <c r="B74" s="27"/>
      <c r="C74" s="30"/>
      <c r="D74" s="27"/>
      <c r="E74" s="49"/>
      <c r="F74" s="49"/>
      <c r="G74" s="49"/>
      <c r="H74" s="49"/>
      <c r="I74" s="76"/>
      <c r="J74" s="51"/>
    </row>
    <row r="75" spans="1:10">
      <c r="A75" s="66"/>
      <c r="B75" s="27"/>
      <c r="C75" s="29" t="s">
        <v>157</v>
      </c>
      <c r="D75" s="27"/>
      <c r="E75" s="30"/>
      <c r="F75" s="30"/>
      <c r="G75" s="30"/>
      <c r="H75" s="30"/>
      <c r="I75" s="68"/>
      <c r="J75" s="31"/>
    </row>
    <row r="76" spans="1:10">
      <c r="A76" s="69"/>
      <c r="B76" s="34"/>
      <c r="C76" s="39" t="s">
        <v>158</v>
      </c>
      <c r="D76" s="34"/>
      <c r="E76" s="52">
        <v>1652.4</v>
      </c>
      <c r="F76" s="52">
        <v>1768</v>
      </c>
      <c r="G76" s="52">
        <v>1660.9</v>
      </c>
      <c r="H76" s="52">
        <v>2123</v>
      </c>
      <c r="I76" s="70">
        <v>2250</v>
      </c>
      <c r="J76" s="53">
        <v>2351</v>
      </c>
    </row>
    <row r="77" spans="1:10">
      <c r="A77" s="69"/>
      <c r="B77" s="34"/>
      <c r="C77" s="39" t="s">
        <v>159</v>
      </c>
      <c r="D77" s="34"/>
      <c r="E77" s="52">
        <v>1283.4000000000001</v>
      </c>
      <c r="F77" s="52">
        <v>1365</v>
      </c>
      <c r="G77" s="52">
        <v>1231.5999999999999</v>
      </c>
      <c r="H77" s="52">
        <v>1173</v>
      </c>
      <c r="I77" s="70">
        <v>1248</v>
      </c>
      <c r="J77" s="53">
        <v>1304</v>
      </c>
    </row>
    <row r="78" spans="1:10">
      <c r="A78" s="69"/>
      <c r="B78" s="34"/>
      <c r="C78" s="39" t="s">
        <v>160</v>
      </c>
      <c r="D78" s="34"/>
      <c r="E78" s="52">
        <v>1255.9000000000001</v>
      </c>
      <c r="F78" s="52">
        <v>1325.4</v>
      </c>
      <c r="G78" s="52">
        <v>1192.8</v>
      </c>
      <c r="H78" s="52">
        <v>1140</v>
      </c>
      <c r="I78" s="70">
        <v>1219</v>
      </c>
      <c r="J78" s="53">
        <v>1276</v>
      </c>
    </row>
    <row r="79" spans="1:10">
      <c r="A79" s="69"/>
      <c r="B79" s="34"/>
      <c r="C79" s="39" t="s">
        <v>161</v>
      </c>
      <c r="D79" s="34"/>
      <c r="E79" s="52">
        <v>1606</v>
      </c>
      <c r="F79" s="52">
        <v>1706.8</v>
      </c>
      <c r="G79" s="52">
        <v>1601.6</v>
      </c>
      <c r="H79" s="52">
        <v>2091</v>
      </c>
      <c r="I79" s="70">
        <v>2218</v>
      </c>
      <c r="J79" s="53">
        <v>2317</v>
      </c>
    </row>
    <row r="80" spans="1:10">
      <c r="A80" s="69"/>
      <c r="B80" s="34"/>
      <c r="C80" s="39" t="s">
        <v>162</v>
      </c>
      <c r="D80" s="34"/>
      <c r="E80" s="83">
        <v>0.25800000000000001</v>
      </c>
      <c r="F80" s="83">
        <v>0.25</v>
      </c>
      <c r="G80" s="83">
        <v>0.246</v>
      </c>
      <c r="H80" s="83">
        <v>0.25900000000000001</v>
      </c>
      <c r="I80" s="84">
        <v>0.25</v>
      </c>
      <c r="J80" s="85">
        <v>0.20100000000000001</v>
      </c>
    </row>
    <row r="81" spans="1:10">
      <c r="A81" s="69"/>
      <c r="B81" s="34"/>
      <c r="C81" s="39" t="s">
        <v>163</v>
      </c>
      <c r="D81" s="34"/>
      <c r="E81" s="35">
        <v>170.6</v>
      </c>
      <c r="F81" s="35">
        <v>230.8</v>
      </c>
      <c r="G81" s="35">
        <v>212.1</v>
      </c>
      <c r="H81" s="35">
        <v>170</v>
      </c>
      <c r="I81" s="73">
        <v>215</v>
      </c>
      <c r="J81" s="37">
        <v>206</v>
      </c>
    </row>
    <row r="82" spans="1:10">
      <c r="A82" s="69"/>
      <c r="B82" s="34"/>
      <c r="C82" s="39" t="s">
        <v>164</v>
      </c>
      <c r="D82" s="34"/>
      <c r="E82" s="35">
        <v>95.3</v>
      </c>
      <c r="F82" s="35">
        <v>39.5</v>
      </c>
      <c r="G82" s="35">
        <v>25.6</v>
      </c>
      <c r="H82" s="35">
        <v>96</v>
      </c>
      <c r="I82" s="73">
        <v>34</v>
      </c>
      <c r="J82" s="37">
        <v>-144</v>
      </c>
    </row>
    <row r="83" spans="1:10">
      <c r="A83" s="66"/>
      <c r="B83" s="27"/>
      <c r="C83" s="30"/>
      <c r="D83" s="27"/>
      <c r="E83" s="49"/>
      <c r="F83" s="49"/>
      <c r="G83" s="49"/>
      <c r="H83" s="49"/>
      <c r="I83" s="76"/>
      <c r="J83" s="51"/>
    </row>
    <row r="84" spans="1:10">
      <c r="A84" s="69"/>
      <c r="B84" s="34"/>
      <c r="C84" s="33"/>
      <c r="D84" s="34"/>
      <c r="E84" s="35">
        <v>558.9</v>
      </c>
      <c r="F84" s="35">
        <v>591.4</v>
      </c>
      <c r="G84" s="35">
        <v>541.79999999999995</v>
      </c>
      <c r="H84" s="35">
        <v>514.29999999999995</v>
      </c>
      <c r="I84" s="73">
        <v>536.5</v>
      </c>
      <c r="J84" s="37">
        <v>580.1</v>
      </c>
    </row>
    <row r="85" spans="1:10">
      <c r="A85" s="71"/>
      <c r="B85" s="40"/>
      <c r="C85" s="39" t="s">
        <v>165</v>
      </c>
      <c r="D85" s="40"/>
      <c r="E85" s="41"/>
      <c r="F85" s="41"/>
      <c r="G85" s="41"/>
      <c r="H85" s="41"/>
      <c r="I85" s="72"/>
      <c r="J85" s="43"/>
    </row>
    <row r="86" spans="1:10">
      <c r="A86" s="69"/>
      <c r="B86" s="34"/>
      <c r="C86" s="33"/>
      <c r="D86" s="34"/>
      <c r="E86" s="35">
        <v>0.5</v>
      </c>
      <c r="F86" s="35">
        <v>0.6</v>
      </c>
      <c r="G86" s="35">
        <v>1.6</v>
      </c>
      <c r="H86" s="35">
        <v>2</v>
      </c>
      <c r="I86" s="73">
        <v>7</v>
      </c>
      <c r="J86" s="37">
        <v>8</v>
      </c>
    </row>
    <row r="87" spans="1:10">
      <c r="A87" s="71"/>
      <c r="B87" s="40"/>
      <c r="C87" s="39" t="s">
        <v>166</v>
      </c>
      <c r="D87" s="40"/>
      <c r="E87" s="41"/>
      <c r="F87" s="41"/>
      <c r="G87" s="41"/>
      <c r="H87" s="41"/>
      <c r="I87" s="72"/>
      <c r="J87" s="43"/>
    </row>
    <row r="88" spans="1:10">
      <c r="A88" s="69"/>
      <c r="B88" s="34"/>
      <c r="C88" s="33"/>
      <c r="D88" s="34"/>
      <c r="E88" s="35">
        <v>293.3</v>
      </c>
      <c r="F88" s="35">
        <v>302.5</v>
      </c>
      <c r="G88" s="35">
        <v>285.60000000000002</v>
      </c>
      <c r="H88" s="35">
        <v>304</v>
      </c>
      <c r="I88" s="73">
        <v>319</v>
      </c>
      <c r="J88" s="37">
        <v>315</v>
      </c>
    </row>
    <row r="89" spans="1:10">
      <c r="A89" s="71"/>
      <c r="B89" s="40"/>
      <c r="C89" s="39" t="s">
        <v>167</v>
      </c>
      <c r="D89" s="40"/>
      <c r="E89" s="41"/>
      <c r="F89" s="41"/>
      <c r="G89" s="41"/>
      <c r="H89" s="41"/>
      <c r="I89" s="72"/>
      <c r="J89" s="43"/>
    </row>
    <row r="90" spans="1:10">
      <c r="A90" s="69"/>
      <c r="B90" s="34"/>
      <c r="C90" s="33"/>
      <c r="D90" s="34"/>
      <c r="E90" s="35">
        <v>6.7</v>
      </c>
      <c r="F90" s="35">
        <v>6.1</v>
      </c>
      <c r="G90" s="35">
        <v>5.0999999999999996</v>
      </c>
      <c r="H90" s="35">
        <v>4</v>
      </c>
      <c r="I90" s="73">
        <v>5</v>
      </c>
      <c r="J90" s="37">
        <v>5</v>
      </c>
    </row>
    <row r="91" spans="1:10">
      <c r="A91" s="71"/>
      <c r="B91" s="40"/>
      <c r="C91" s="39" t="s">
        <v>168</v>
      </c>
      <c r="D91" s="40"/>
      <c r="E91" s="41"/>
      <c r="F91" s="41"/>
      <c r="G91" s="41"/>
      <c r="H91" s="41"/>
      <c r="I91" s="72"/>
      <c r="J91" s="43"/>
    </row>
    <row r="92" spans="1:10">
      <c r="A92" s="69"/>
      <c r="B92" s="34"/>
      <c r="C92" s="33"/>
      <c r="D92" s="34"/>
      <c r="E92" s="54" t="s">
        <v>169</v>
      </c>
      <c r="F92" s="54" t="s">
        <v>170</v>
      </c>
      <c r="G92" s="54" t="s">
        <v>171</v>
      </c>
      <c r="H92" s="54" t="s">
        <v>172</v>
      </c>
      <c r="I92" s="77" t="s">
        <v>173</v>
      </c>
      <c r="J92" s="56" t="s">
        <v>173</v>
      </c>
    </row>
    <row r="93" spans="1:10">
      <c r="A93" s="71"/>
      <c r="B93" s="40"/>
      <c r="C93" s="39" t="s">
        <v>174</v>
      </c>
      <c r="D93" s="40"/>
      <c r="E93" s="41"/>
      <c r="F93" s="41"/>
      <c r="G93" s="41"/>
      <c r="H93" s="41"/>
      <c r="I93" s="72"/>
      <c r="J93" s="43"/>
    </row>
    <row r="94" spans="1:10">
      <c r="A94" s="69"/>
      <c r="B94" s="34"/>
      <c r="C94" s="33"/>
      <c r="D94" s="34"/>
      <c r="E94" s="35" t="s">
        <v>175</v>
      </c>
      <c r="F94" s="35" t="s">
        <v>175</v>
      </c>
      <c r="G94" s="35" t="s">
        <v>175</v>
      </c>
      <c r="H94" s="35" t="s">
        <v>176</v>
      </c>
      <c r="I94" s="73" t="s">
        <v>175</v>
      </c>
      <c r="J94" s="37" t="s">
        <v>177</v>
      </c>
    </row>
    <row r="95" spans="1:10">
      <c r="A95" s="71"/>
      <c r="B95" s="40"/>
      <c r="C95" s="39" t="s">
        <v>178</v>
      </c>
      <c r="D95" s="40"/>
      <c r="E95" s="41"/>
      <c r="F95" s="41"/>
      <c r="G95" s="41"/>
      <c r="H95" s="41"/>
      <c r="I95" s="72"/>
      <c r="J95" s="43"/>
    </row>
    <row r="96" spans="1:10">
      <c r="A96" s="69"/>
      <c r="B96" s="34"/>
      <c r="C96" s="33"/>
      <c r="D96" s="34"/>
      <c r="E96" s="35" t="s">
        <v>179</v>
      </c>
      <c r="F96" s="35" t="s">
        <v>179</v>
      </c>
      <c r="G96" s="35" t="s">
        <v>179</v>
      </c>
      <c r="H96" s="35" t="s">
        <v>179</v>
      </c>
      <c r="I96" s="73" t="s">
        <v>179</v>
      </c>
      <c r="J96" s="37" t="s">
        <v>179</v>
      </c>
    </row>
    <row r="97" spans="1:10">
      <c r="A97" s="71"/>
      <c r="B97" s="40"/>
      <c r="C97" s="39" t="s">
        <v>180</v>
      </c>
      <c r="D97" s="40"/>
      <c r="E97" s="41"/>
      <c r="F97" s="41"/>
      <c r="G97" s="41"/>
      <c r="H97" s="41"/>
      <c r="I97" s="72"/>
      <c r="J97" s="43"/>
    </row>
    <row r="98" spans="1:10">
      <c r="A98" s="66"/>
      <c r="B98" s="27"/>
      <c r="C98" s="30"/>
      <c r="D98" s="27"/>
      <c r="E98" s="49"/>
      <c r="F98" s="49"/>
      <c r="G98" s="49"/>
      <c r="H98" s="49"/>
      <c r="I98" s="76"/>
      <c r="J98" s="51"/>
    </row>
    <row r="99" spans="1:10">
      <c r="A99" s="66"/>
      <c r="B99" s="27"/>
      <c r="C99" s="29" t="s">
        <v>181</v>
      </c>
      <c r="D99" s="27"/>
      <c r="E99" s="30"/>
      <c r="F99" s="30"/>
      <c r="G99" s="30"/>
      <c r="H99" s="30"/>
      <c r="I99" s="68"/>
      <c r="J99" s="31"/>
    </row>
    <row r="100" spans="1:10">
      <c r="A100" s="69"/>
      <c r="B100" s="34"/>
      <c r="C100" s="33"/>
      <c r="D100" s="34"/>
      <c r="E100" s="35">
        <v>-46.4</v>
      </c>
      <c r="F100" s="35">
        <v>-61.2</v>
      </c>
      <c r="G100" s="35">
        <v>-59.3</v>
      </c>
      <c r="H100" s="35">
        <v>-32</v>
      </c>
      <c r="I100" s="73">
        <v>-32</v>
      </c>
      <c r="J100" s="37">
        <v>-34</v>
      </c>
    </row>
    <row r="101" spans="1:10">
      <c r="A101" s="71"/>
      <c r="B101" s="40"/>
      <c r="C101" s="39" t="s">
        <v>182</v>
      </c>
      <c r="D101" s="40"/>
      <c r="E101" s="41"/>
      <c r="F101" s="41"/>
      <c r="G101" s="41"/>
      <c r="H101" s="41"/>
      <c r="I101" s="72"/>
      <c r="J101" s="43"/>
    </row>
    <row r="102" spans="1:10">
      <c r="A102" s="69"/>
      <c r="B102" s="34"/>
      <c r="C102" s="33"/>
      <c r="D102" s="34"/>
      <c r="E102" s="35">
        <v>-15.5</v>
      </c>
      <c r="F102" s="35">
        <v>-20.3</v>
      </c>
      <c r="G102" s="35">
        <v>-18.5</v>
      </c>
      <c r="H102" s="35">
        <v>-10.8</v>
      </c>
      <c r="I102" s="73">
        <v>-11.3</v>
      </c>
      <c r="J102" s="37">
        <v>-11.5</v>
      </c>
    </row>
    <row r="103" spans="1:10">
      <c r="A103" s="71"/>
      <c r="B103" s="40"/>
      <c r="C103" s="39" t="s">
        <v>183</v>
      </c>
      <c r="D103" s="40"/>
      <c r="E103" s="41"/>
      <c r="F103" s="41"/>
      <c r="G103" s="41"/>
      <c r="H103" s="41"/>
      <c r="I103" s="72"/>
      <c r="J103" s="43"/>
    </row>
    <row r="104" spans="1:10">
      <c r="A104" s="69"/>
      <c r="B104" s="34"/>
      <c r="C104" s="33"/>
      <c r="D104" s="34"/>
      <c r="E104" s="35" t="s">
        <v>184</v>
      </c>
      <c r="F104" s="35" t="s">
        <v>184</v>
      </c>
      <c r="G104" s="35" t="s">
        <v>184</v>
      </c>
      <c r="H104" s="35" t="s">
        <v>184</v>
      </c>
      <c r="I104" s="73" t="s">
        <v>184</v>
      </c>
      <c r="J104" s="37" t="s">
        <v>184</v>
      </c>
    </row>
    <row r="105" spans="1:10">
      <c r="A105" s="71"/>
      <c r="B105" s="40"/>
      <c r="C105" s="39" t="s">
        <v>185</v>
      </c>
      <c r="D105" s="40"/>
      <c r="E105" s="41"/>
      <c r="F105" s="41"/>
      <c r="G105" s="41"/>
      <c r="H105" s="41"/>
      <c r="I105" s="72"/>
      <c r="J105" s="43"/>
    </row>
    <row r="106" spans="1:10">
      <c r="A106" s="66"/>
      <c r="B106" s="27"/>
      <c r="C106" s="30"/>
      <c r="D106" s="27"/>
      <c r="E106" s="49"/>
      <c r="F106" s="49"/>
      <c r="G106" s="49"/>
      <c r="H106" s="49"/>
      <c r="I106" s="76"/>
      <c r="J106" s="51"/>
    </row>
    <row r="107" spans="1:10">
      <c r="A107" s="69"/>
      <c r="B107" s="34"/>
      <c r="C107" s="33"/>
      <c r="D107" s="34"/>
      <c r="E107" s="35">
        <v>34.700000000000003</v>
      </c>
      <c r="F107" s="35">
        <v>18.899999999999999</v>
      </c>
      <c r="G107" s="35">
        <v>-5.9</v>
      </c>
      <c r="H107" s="35">
        <v>5</v>
      </c>
      <c r="I107" s="73">
        <v>86</v>
      </c>
      <c r="J107" s="37">
        <v>17</v>
      </c>
    </row>
    <row r="108" spans="1:10">
      <c r="A108" s="71"/>
      <c r="B108" s="40"/>
      <c r="C108" s="39" t="s">
        <v>186</v>
      </c>
      <c r="D108" s="40"/>
      <c r="E108" s="41"/>
      <c r="F108" s="41"/>
      <c r="G108" s="41"/>
      <c r="H108" s="41"/>
      <c r="I108" s="72"/>
      <c r="J108" s="43"/>
    </row>
    <row r="109" spans="1:10">
      <c r="A109" s="69"/>
      <c r="B109" s="34"/>
      <c r="C109" s="33"/>
      <c r="D109" s="34"/>
      <c r="E109" s="35">
        <v>11.8</v>
      </c>
      <c r="F109" s="35">
        <v>14.6</v>
      </c>
      <c r="G109" s="35">
        <v>17.3</v>
      </c>
      <c r="H109" s="35">
        <v>10</v>
      </c>
      <c r="I109" s="78" t="s">
        <v>86</v>
      </c>
      <c r="J109" s="57" t="s">
        <v>86</v>
      </c>
    </row>
    <row r="110" spans="1:10">
      <c r="A110" s="71"/>
      <c r="B110" s="40"/>
      <c r="C110" s="39" t="s">
        <v>187</v>
      </c>
      <c r="D110" s="40"/>
      <c r="E110" s="41"/>
      <c r="F110" s="41"/>
      <c r="G110" s="41"/>
      <c r="H110" s="41"/>
      <c r="I110" s="72"/>
      <c r="J110" s="43"/>
    </row>
    <row r="111" spans="1:10">
      <c r="A111" s="69"/>
      <c r="B111" s="34"/>
      <c r="C111" s="33"/>
      <c r="D111" s="34"/>
      <c r="E111" s="35">
        <v>46.5</v>
      </c>
      <c r="F111" s="35">
        <v>33.5</v>
      </c>
      <c r="G111" s="35">
        <v>11.4</v>
      </c>
      <c r="H111" s="35">
        <v>15</v>
      </c>
      <c r="I111" s="73">
        <v>86</v>
      </c>
      <c r="J111" s="37">
        <v>17</v>
      </c>
    </row>
    <row r="112" spans="1:10">
      <c r="A112" s="86"/>
      <c r="B112" s="62"/>
      <c r="C112" s="61" t="s">
        <v>188</v>
      </c>
      <c r="D112" s="62"/>
      <c r="E112" s="63"/>
      <c r="F112" s="63"/>
      <c r="G112" s="63"/>
      <c r="H112" s="63"/>
      <c r="I112" s="87"/>
      <c r="J112" s="65"/>
    </row>
  </sheetData>
  <hyperlinks>
    <hyperlink ref="E3" r:id="rId1" display="28,268.30" xr:uid="{93E6D329-DAA3-4A96-ADFA-726EAB3132E1}"/>
    <hyperlink ref="F3" r:id="rId2" display="30,162.40" xr:uid="{52C571D2-6272-4AF1-BAB0-65E003907087}"/>
    <hyperlink ref="G3" r:id="rId3" display="30,478.10" xr:uid="{97D5DCB9-8564-4BEF-BFE8-BCED4B9A2A3C}"/>
    <hyperlink ref="H3" r:id="rId4" display="30,733.00" xr:uid="{A954CC04-A887-4E0A-919A-320381C6127D}"/>
    <hyperlink ref="I3" r:id="rId5" display="31,277.00" xr:uid="{5F356F66-4997-4AFC-BDAE-D4C078822987}"/>
    <hyperlink ref="J3" r:id="rId6" display="31,950.00" xr:uid="{D4CB0CF1-DD65-4F59-9E0D-FA7FF97BA579}"/>
    <hyperlink ref="E5" r:id="rId7" display="67.3" xr:uid="{8C9BB720-EE33-4A24-869B-8B5E58E541AB}"/>
    <hyperlink ref="F5" r:id="rId8" display="109.8" xr:uid="{C0B30BB7-2570-4A55-BDC2-5064115377C7}"/>
    <hyperlink ref="G5" r:id="rId9" display="103.8" xr:uid="{2C274740-D2EA-4C7C-A549-ADC6592FD739}"/>
    <hyperlink ref="H5" r:id="rId10" display="67" xr:uid="{57297611-3F9B-4476-8EA2-130E11E18D8B}"/>
    <hyperlink ref="I5" r:id="rId11" display="83" xr:uid="{0411BFE9-79CB-4FB9-AE23-A6681B74A8FA}"/>
    <hyperlink ref="J5" r:id="rId12" display="79" xr:uid="{612828CC-DB4C-48F0-A116-66D83A3CAD3F}"/>
    <hyperlink ref="E7" r:id="rId13" display="28,335.60" xr:uid="{FBB95E3B-0231-4A5F-B61D-1FA14088C060}"/>
    <hyperlink ref="F7" r:id="rId14" display="30,272.20" xr:uid="{50E040B5-F306-42D5-A413-0D1FB331D038}"/>
    <hyperlink ref="G7" r:id="rId15" display="30,581.90" xr:uid="{AB5B847B-7CC5-405E-9C42-EDDDD230C65E}"/>
    <hyperlink ref="H7" r:id="rId16" display="30,800.00" xr:uid="{307123BE-1E11-427D-9F8C-DAD815063FC8}"/>
    <hyperlink ref="I7" r:id="rId17" display="31,360.00" xr:uid="{8AA823BE-1002-4351-A46E-A3969B329396}"/>
    <hyperlink ref="J7" r:id="rId18" display="32,029.00" xr:uid="{0597FE67-0D6F-4579-9ED7-D1BBB428B6A7}"/>
    <hyperlink ref="E8" r:id="rId19" display="21,069.00" xr:uid="{23C2C758-D9E6-4D27-8778-360FE6D3BB2F}"/>
    <hyperlink ref="F8" r:id="rId20" display="22,502.70" xr:uid="{5203578C-12E6-4818-AD07-A9A7131F5BCB}"/>
    <hyperlink ref="G8" r:id="rId21" display="22,685.40" xr:uid="{4CB94765-6AA8-44DB-9D36-029A3641C18A}"/>
    <hyperlink ref="H8" r:id="rId22" display="22,662.00" xr:uid="{AAE46CCC-F39B-49DD-A7CD-F5C2C95D14F6}"/>
    <hyperlink ref="I8" r:id="rId23" display="22,895.00" xr:uid="{8B82441A-EA86-4CF4-AF2E-FD1C77ADEAC8}"/>
    <hyperlink ref="J8" r:id="rId24" display="23,286.00" xr:uid="{4E77C832-B60C-4B7D-B34C-599E3A388AA8}"/>
    <hyperlink ref="E9" r:id="rId25" display="7,266.60" xr:uid="{60B3102C-9AD8-4E5B-B712-18755D501D79}"/>
    <hyperlink ref="F9" r:id="rId26" display="7,769.50" xr:uid="{0C9930FB-D5A2-4310-BBA2-055D85F8EA21}"/>
    <hyperlink ref="G9" r:id="rId27" display="7,896.50" xr:uid="{E6D854DD-39D5-4DC1-9970-1F84449101DF}"/>
    <hyperlink ref="H9" r:id="rId28" display="8,138.00" xr:uid="{3DA344B0-8358-4EF6-93FD-1D43D6891C2F}"/>
    <hyperlink ref="I9" r:id="rId29" display="8,465.00" xr:uid="{23F87037-4F04-4D06-A633-75C6997813FA}"/>
    <hyperlink ref="J9" r:id="rId30" display="8,743.00" xr:uid="{011608CC-9E28-450D-AE4B-8DFF0BE31019}"/>
    <hyperlink ref="E10" r:id="rId31" display="6,010.70" xr:uid="{6D36B4A9-DB77-4F3B-A494-5613C7EF165C}"/>
    <hyperlink ref="F10" r:id="rId32" display="6,491.10" xr:uid="{4AF5DCF1-D740-4055-AACD-19DC814EBEAF}"/>
    <hyperlink ref="G10" r:id="rId33" display="6,703.70" xr:uid="{EAF92F5E-3D72-4C62-9100-0DBD2BDDA00D}"/>
    <hyperlink ref="H10" r:id="rId34" display="6,998.00" xr:uid="{031D1541-66C3-4DC5-906F-E43B3CBF0648}"/>
    <hyperlink ref="I10" r:id="rId35" display="7,246.00" xr:uid="{C14EC3BC-688B-401F-BD84-F3223F57719E}"/>
    <hyperlink ref="J10" r:id="rId36" display="7,467.00" xr:uid="{E2F69791-B3B6-466C-B33D-DFC45AE9FE4B}"/>
    <hyperlink ref="F13" r:id="rId37" display="-47" xr:uid="{25EAF544-0423-4525-9691-5CE83467B1FF}"/>
    <hyperlink ref="E14" r:id="rId38" display="6,010.70" xr:uid="{9AA85EFA-C0E6-4EEE-AC8C-AA9F904E62D3}"/>
    <hyperlink ref="F14" r:id="rId39" display="6,444.10" xr:uid="{60C2AF6F-0203-42CA-BCD8-92DC1AEBCA3B}"/>
    <hyperlink ref="G14" r:id="rId40" display="6,703.70" xr:uid="{77F1D689-A882-48B2-8634-489102F7551B}"/>
    <hyperlink ref="H14" r:id="rId41" display="6,998.00" xr:uid="{0921E6A5-F365-4F4B-A8FC-7B0EB26A1908}"/>
    <hyperlink ref="I14" r:id="rId42" display="7,246.00" xr:uid="{50ED6C51-0A56-4C55-A008-DF181C386141}"/>
    <hyperlink ref="J14" r:id="rId43" display="7,467.00" xr:uid="{1240A15D-19D2-49B6-836A-52731112357F}"/>
    <hyperlink ref="E15" r:id="rId44" display="1,255.90" xr:uid="{ECD0F44F-8786-4C4A-9A5B-5F303E9A76D0}"/>
    <hyperlink ref="F15" r:id="rId45" display="1,325.40" xr:uid="{08795E1D-4577-4378-B23C-6E1D6AAECBDD}"/>
    <hyperlink ref="G15" r:id="rId46" display="1,192.80" xr:uid="{238478ED-204B-4D65-9792-4A3D10F6D2AC}"/>
    <hyperlink ref="H15" r:id="rId47" display="1,140.00" xr:uid="{B0AE61B2-8530-4279-B6A1-9C590D7C4C7E}"/>
    <hyperlink ref="I15" r:id="rId48" display="1,219.00" xr:uid="{9E50DB2C-71E7-43B9-9211-4C3F14AEA5BA}"/>
    <hyperlink ref="J15" r:id="rId49" display="1,276.00" xr:uid="{1C0CCD91-07F7-4C9E-8822-A651D3B60B82}"/>
    <hyperlink ref="E16" r:id="rId50" display="-292.8" xr:uid="{C383761D-E114-4BC5-88B1-F6C656448F44}"/>
    <hyperlink ref="F16" r:id="rId51" display="-301.9" xr:uid="{ACEB2F97-A36E-4A78-9FC3-1900C3B12081}"/>
    <hyperlink ref="G16" r:id="rId52" display="-284" xr:uid="{2A211870-68ED-4118-AE68-C1739D539FF7}"/>
    <hyperlink ref="H16" r:id="rId53" display="-304" xr:uid="{8015FDCB-901D-4168-B35C-4B472A815801}"/>
    <hyperlink ref="I16" r:id="rId54" display="-319" xr:uid="{AE7D0A74-BAB5-42BC-A7E7-34853781321D}"/>
    <hyperlink ref="J16" r:id="rId55" display="-315" xr:uid="{542A574E-3926-4CC5-B109-247A2BED28C8}"/>
    <hyperlink ref="E17" r:id="rId56" display="29.5" xr:uid="{F46ADF9C-9F08-479A-B21C-6ADD1BC9FE89}"/>
    <hyperlink ref="F17" r:id="rId57" display="26.1" xr:uid="{B81BED66-265C-4B3F-8E8C-A06B344068DD}"/>
    <hyperlink ref="G17" r:id="rId58" display="23.8" xr:uid="{34B6116A-A245-40AA-862E-CA584A218533}"/>
    <hyperlink ref="H17" r:id="rId59" display="27" xr:uid="{8E451712-D063-4332-B11C-5DF03DF7FF78}"/>
    <hyperlink ref="I17" r:id="rId60" display="26" xr:uid="{6940C829-7089-4CEE-A874-C84E3FDE7E3B}"/>
    <hyperlink ref="J17" r:id="rId61" display="33" xr:uid="{6F3FE738-E07E-45B3-B06A-2EB2435E971E}"/>
    <hyperlink ref="E19" r:id="rId62" display="-263.3" xr:uid="{C5583F1E-125C-4900-9843-771E43A5D9DF}"/>
    <hyperlink ref="F19" r:id="rId63" display="-275.8" xr:uid="{16857645-44D6-4775-9887-829484C47B54}"/>
    <hyperlink ref="G19" r:id="rId64" display="-260.2" xr:uid="{111555F1-6227-455E-AC1D-3FB0447FBC33}"/>
    <hyperlink ref="H19" r:id="rId65" display="-277" xr:uid="{E1E5143F-643E-43D2-B574-7C31D6BF68F8}"/>
    <hyperlink ref="I19" r:id="rId66" display="-293" xr:uid="{5C87E87D-2839-4F7E-B7A8-C254157E78A5}"/>
    <hyperlink ref="J19" r:id="rId67" display="-282" xr:uid="{2A77CDC4-25E2-4423-A5C5-E0ECE99BA09A}"/>
    <hyperlink ref="E21" r:id="rId68" display="2" xr:uid="{95E6A5B8-0DD1-43F2-A1E7-1578C0DDD5ED}"/>
    <hyperlink ref="F21" r:id="rId69" display="1.5" xr:uid="{FBF0FE46-FB58-4224-929F-019198A3D5E3}"/>
    <hyperlink ref="G21" r:id="rId70" display="1" xr:uid="{0D05A126-D6EF-4413-92E3-E72F6ADC06A9}"/>
    <hyperlink ref="H21" r:id="rId71" display="19" xr:uid="{CE810CD0-1ED0-4277-B5BB-22385BCD37A7}"/>
    <hyperlink ref="I21" r:id="rId72" display="6" xr:uid="{D9BEF265-7926-4937-B2A0-F1DF731EE1D6}"/>
    <hyperlink ref="J21" r:id="rId73" display="11" xr:uid="{3F75AE72-D459-4F11-BFCE-03F71382E729}"/>
    <hyperlink ref="E22" r:id="rId74" display="994.6" xr:uid="{36B60EBF-2B00-4F6D-8E9F-3DBED63EB7A1}"/>
    <hyperlink ref="F22" r:id="rId75" display="1,051.10" xr:uid="{14CC2DC7-72A0-4AF9-8437-EE0EA673041D}"/>
    <hyperlink ref="G22" r:id="rId76" display="933.6" xr:uid="{DD6F5810-61EE-4798-A31A-403A5F0746B1}"/>
    <hyperlink ref="H22" r:id="rId77" display="882" xr:uid="{E7D54C0D-1D3B-4431-8C13-799A7876349F}"/>
    <hyperlink ref="I22" r:id="rId78" display="932" xr:uid="{D5AD86AE-53A0-4B37-AE3C-DFC2381488F6}"/>
    <hyperlink ref="J22" r:id="rId79" display="1,005.00" xr:uid="{3A89709F-301A-4AFA-AEE7-248FBF00E837}"/>
    <hyperlink ref="E25" r:id="rId80" display="37.1" xr:uid="{C6F837CE-2702-4CE2-8066-C69AD753DA8E}"/>
    <hyperlink ref="F25" r:id="rId81" display="23.1" xr:uid="{33420355-DE5A-49CD-936B-49472411ECCC}"/>
    <hyperlink ref="G25" r:id="rId82" display="44.7" xr:uid="{516A5AD3-C18F-4DA7-8F19-A62B7780C579}"/>
    <hyperlink ref="H25" r:id="rId83" display="108" xr:uid="{700D8DE6-6F7E-4D7D-BFD1-55C8FE015079}"/>
    <hyperlink ref="I25" r:id="rId84" display="57" xr:uid="{09F9ECA2-146A-466D-BD01-57C23C4F5E8E}"/>
    <hyperlink ref="J25" r:id="rId85" display="38" xr:uid="{83C3EAE9-70F5-43EE-B7FC-4DA8DE04B78C}"/>
    <hyperlink ref="E26" r:id="rId86" display="-1.6" xr:uid="{79406217-F247-47DE-BBA4-82EB68428D81}"/>
    <hyperlink ref="F26" r:id="rId87" display="7.4" xr:uid="{71570A68-786E-4DBA-9398-4340DB827C40}"/>
    <hyperlink ref="G26" r:id="rId88" display="-12.9" xr:uid="{EC6DA938-44ED-44A5-BA25-7E43ABA62977}"/>
    <hyperlink ref="I26" r:id="rId89" display="-12" xr:uid="{98D98D65-A600-481F-A9D7-EA3B8552AB6A}"/>
    <hyperlink ref="J26" r:id="rId90" display="-747" xr:uid="{27844BA6-B7F8-4C55-A569-879B6DB9B6A6}"/>
    <hyperlink ref="H27" r:id="rId91" display="39" xr:uid="{42F5908B-46B6-4EC6-839C-9A3992A932E7}"/>
    <hyperlink ref="I27" r:id="rId92" display="18" xr:uid="{A285556A-B346-4285-980A-F5E86E42EEC0}"/>
    <hyperlink ref="J27" r:id="rId93" display="12" xr:uid="{57A3DE84-9717-4DA8-BC3C-DEB43DED9479}"/>
    <hyperlink ref="E28" r:id="rId94" display="1,030.10" xr:uid="{C1D59C12-40CE-4170-95F8-6E6FA7540172}"/>
    <hyperlink ref="F28" r:id="rId95" display="1,081.60" xr:uid="{36D5F134-CEBD-4824-9C0E-BF5B05DDED48}"/>
    <hyperlink ref="G28" r:id="rId96" display="965.4" xr:uid="{E0713687-4D23-4966-9DF5-4DB9AE7AC08C}"/>
    <hyperlink ref="H28" r:id="rId97" display="1,029.00" xr:uid="{B33E2E15-71CD-4AEF-BD07-F0877D1EC4FA}"/>
    <hyperlink ref="I28" r:id="rId98" display="995" xr:uid="{3575A5AD-7C03-4FFA-8E2F-2E36A85F94AB}"/>
    <hyperlink ref="J28" r:id="rId99" display="308" xr:uid="{54EE6AE4-A41F-465C-AA96-200DF5CF309C}"/>
    <hyperlink ref="E30" r:id="rId100" display="265.9" xr:uid="{782E7E15-15EC-42C0-A346-7D9B5816E68B}"/>
    <hyperlink ref="F30" r:id="rId101" display="270.3" xr:uid="{466AAF8A-AE59-486E-AD3A-C3299A6A9EFE}"/>
    <hyperlink ref="G30" r:id="rId102" display="237.7" xr:uid="{62692FB0-D97E-4A73-B2BC-AE5F20665DBE}"/>
    <hyperlink ref="H30" r:id="rId103" display="266" xr:uid="{3B33AD1C-1206-4AC7-8616-6154839D5C2A}"/>
    <hyperlink ref="I30" r:id="rId104" display="249" xr:uid="{FF7B5D10-4730-477C-8F0B-51E7CAEC29E6}"/>
    <hyperlink ref="J30" r:id="rId105" display="62" xr:uid="{547EA022-A433-45C3-9A4A-41CC1DE42128}"/>
    <hyperlink ref="E31" r:id="rId106" display="764.2" xr:uid="{A8C68B7E-425D-4C44-A73B-324C4DD1EE23}"/>
    <hyperlink ref="F31" r:id="rId107" display="811.3" xr:uid="{3EEEA091-ED3C-4E54-96E8-AC2B953D81C8}"/>
    <hyperlink ref="G31" r:id="rId108" display="727.7" xr:uid="{94F2D851-6C2F-41B9-AD95-E953240693F1}"/>
    <hyperlink ref="H31" r:id="rId109" display="763" xr:uid="{F114807A-A03A-4A9B-A133-B135C6DDD114}"/>
    <hyperlink ref="I31" r:id="rId110" display="746" xr:uid="{2347EFD9-0574-4B18-87D5-8925CABA9D41}"/>
    <hyperlink ref="J31" r:id="rId111" display="246" xr:uid="{127AC436-ABF7-4EA2-950A-AC7E3EEE81B9}"/>
    <hyperlink ref="E35" r:id="rId112" display="764.2" xr:uid="{2582C257-2FB6-45D8-AF2F-E7D41BFB6A35}"/>
    <hyperlink ref="F35" r:id="rId113" display="811.3" xr:uid="{CABC84AE-D877-43E3-ADDC-059DD1821FD4}"/>
    <hyperlink ref="G35" r:id="rId114" display="727.7" xr:uid="{0B40D8F9-D5E8-4324-A9BF-CFCD979D2F8F}"/>
    <hyperlink ref="H35" r:id="rId115" display="763" xr:uid="{605E42A9-893E-4FFF-8CF4-9086AAB0AA3B}"/>
    <hyperlink ref="I35" r:id="rId116" display="746" xr:uid="{521CAFF2-EC1A-4E36-9C04-54BCD26604A9}"/>
    <hyperlink ref="J35" r:id="rId117" display="246" xr:uid="{24235DCD-C5D2-426D-92D0-ECE32CF34E99}"/>
    <hyperlink ref="E37" r:id="rId118" display="-62.7" xr:uid="{6ACC1FA1-BDFC-4DE3-9253-DED6148EC441}"/>
    <hyperlink ref="F37" r:id="rId119" display="-65.5" xr:uid="{41673E31-5355-44CC-8823-FD7051519925}"/>
    <hyperlink ref="G37" r:id="rId120" display="-41.7" xr:uid="{BF1A1023-0B3F-4824-90AF-D821747EF6E6}"/>
    <hyperlink ref="H37" r:id="rId121" display="-37" xr:uid="{50922376-A925-4876-8319-2D43A1354656}"/>
    <hyperlink ref="I37" r:id="rId122" display="-46" xr:uid="{23481E40-3104-4D25-B144-EFCCA19E6921}"/>
    <hyperlink ref="J37" r:id="rId123" display="-48" xr:uid="{BD1E6106-A883-4336-9576-4FE953D8AC27}"/>
    <hyperlink ref="E40" r:id="rId124" display="701.5" xr:uid="{E3974BA2-7E36-42A3-99EA-253E82A29ACE}"/>
    <hyperlink ref="F40" r:id="rId125" display="745.8" xr:uid="{A98DEB33-CD40-47C9-890A-24C7AA18A541}"/>
    <hyperlink ref="G40" r:id="rId126" display="686" xr:uid="{1DA3D791-A7D2-4F8A-96BB-F012F5B19FB1}"/>
    <hyperlink ref="H40" r:id="rId127" display="726" xr:uid="{94765559-A3C7-4F21-8BAC-DBD3C463DC1E}"/>
    <hyperlink ref="I40" r:id="rId128" display="700" xr:uid="{B0646824-A768-432F-9661-03B4211C9723}"/>
    <hyperlink ref="J40" r:id="rId129" display="198" xr:uid="{6218EE95-31BC-4CA3-84F8-E4180CDA24FE}"/>
    <hyperlink ref="E45" r:id="rId130" display="701.5" xr:uid="{0861AEEC-CF4C-42B7-A140-C158EAF572FE}"/>
    <hyperlink ref="F45" r:id="rId131" display="745.8" xr:uid="{C15EE3F5-C047-4D12-82C3-65397E971B3A}"/>
    <hyperlink ref="G45" r:id="rId132" display="686" xr:uid="{9CE2D724-258C-4BB6-AE84-7E6A556F6052}"/>
    <hyperlink ref="H45" r:id="rId133" display="726" xr:uid="{9C6EC326-4D99-42EE-83F6-B5C22BFDEE81}"/>
    <hyperlink ref="I45" r:id="rId134" display="700" xr:uid="{DA7302CF-9994-4D08-8753-D9DCFED8CB6B}"/>
    <hyperlink ref="J45" r:id="rId135" display="198" xr:uid="{57DE0C6A-2DE4-4318-99BA-E67058B0B48D}"/>
    <hyperlink ref="E47" r:id="rId136" display="701.5" xr:uid="{761A35B4-4BA2-4C35-9099-3D6C86498495}"/>
    <hyperlink ref="F47" r:id="rId137" display="745.8" xr:uid="{0E72EA90-403A-43E4-8C09-BBAD457FC40D}"/>
    <hyperlink ref="G47" r:id="rId138" display="686" xr:uid="{592C80D6-AE44-4509-B88F-2047665E9C19}"/>
    <hyperlink ref="H47" r:id="rId139" display="726" xr:uid="{C4FB1D19-3411-4B17-835C-6CA6ECF8C446}"/>
    <hyperlink ref="I47" r:id="rId140" display="700" xr:uid="{46EC45DC-8823-4C3C-AA07-A5B0542F844F}"/>
    <hyperlink ref="J47" r:id="rId141" display="198" xr:uid="{1C6616C7-1132-4AAB-B196-DD62DB7C58B0}"/>
    <hyperlink ref="E51" r:id="rId142" display="$2.61 " xr:uid="{571DEE74-031E-41CC-9653-6002EA3343B7}"/>
    <hyperlink ref="F51" r:id="rId143" display="$2.81 " xr:uid="{57339CC9-A0FA-4074-B87D-48A5D09C3191}"/>
    <hyperlink ref="G51" r:id="rId144" display="$2.65 " xr:uid="{6DBF1336-283C-4A55-9A08-DED04861C6FA}"/>
    <hyperlink ref="H51" r:id="rId145" display="$2.93 " xr:uid="{CD4DD312-D1D9-48AF-96F0-263C89CDE037}"/>
    <hyperlink ref="I51" r:id="rId146" display="$2.94 " xr:uid="{A507A948-3052-4270-9A45-C490ED3FF581}"/>
    <hyperlink ref="J51" r:id="rId147" display="$0.86 " xr:uid="{8ADD3AA9-94BB-46B7-9FF7-9FA487F60543}"/>
    <hyperlink ref="E53" r:id="rId148" display="2.61" xr:uid="{E637678A-2439-44FC-99C9-26B09F3725BC}"/>
    <hyperlink ref="F53" r:id="rId149" display="2.81" xr:uid="{999D1C5E-2823-4499-BBB5-8FFE993A0CE1}"/>
    <hyperlink ref="G53" r:id="rId150" display="2.65" xr:uid="{63AB27C0-4518-443F-9E1C-A0CF314659C2}"/>
    <hyperlink ref="H53" r:id="rId151" display="2.93" xr:uid="{AA27D1E7-94FF-4758-B53C-BF0203F0B4D5}"/>
    <hyperlink ref="I53" r:id="rId152" display="2.94" xr:uid="{5EDCC6CB-F0E0-40B4-8BC6-B076E2A66C5E}"/>
    <hyperlink ref="J53" r:id="rId153" display="0.86" xr:uid="{B477DF9F-BA00-43F7-815E-A4D3B8C62461}"/>
    <hyperlink ref="E58" r:id="rId154" display="$2.60 " xr:uid="{D61DDB88-D34C-4FD5-9FF8-58AFF6EA906A}"/>
    <hyperlink ref="F58" r:id="rId155" display="$2.80 " xr:uid="{3CA42188-B821-4E39-8CAA-27235150B36B}"/>
    <hyperlink ref="G58" r:id="rId156" display="$2.64 " xr:uid="{C8BE40CE-E84A-49F4-9B2B-E8D93E62EFD8}"/>
    <hyperlink ref="H58" r:id="rId157" display="$2.92 " xr:uid="{BD77588B-3B45-4F5D-A21A-545F25446EA6}"/>
    <hyperlink ref="I58" r:id="rId158" display="$2.93 " xr:uid="{5E7166D2-95A4-49FA-A36F-23ABB154B701}"/>
    <hyperlink ref="J58" r:id="rId159" display="$0.86 " xr:uid="{994FE146-D112-45A2-AA9F-CFC0E7D1D197}"/>
    <hyperlink ref="E60" r:id="rId160" display="2.6" xr:uid="{45BF3F97-3784-42D3-8FE0-891EC1F66A8F}"/>
    <hyperlink ref="F60" r:id="rId161" display="2.8" xr:uid="{73C073E7-9A9C-4A10-92EB-4B5DCB2158D2}"/>
    <hyperlink ref="G60" r:id="rId162" display="2.64" xr:uid="{95DA51BE-9F6B-4F4C-BEAE-261695B9D076}"/>
    <hyperlink ref="H60" r:id="rId163" display="2.92" xr:uid="{0C65253A-3B6B-41F9-9EDB-13AA47643674}"/>
    <hyperlink ref="I60" r:id="rId164" display="2.93" xr:uid="{EA627078-BADC-4A4E-9BC7-90DAB12772A2}"/>
    <hyperlink ref="J60" r:id="rId165" display="0.86" xr:uid="{F0BEC52D-CD8A-4285-9FAD-90D20C6E2428}"/>
    <hyperlink ref="E65" r:id="rId166" display="$2.08 " xr:uid="{23C05C74-9FEA-4FC1-86ED-ACE79ABE5CAF}"/>
    <hyperlink ref="F65" r:id="rId167" display="$2.23 " xr:uid="{92BF51F5-70E3-48F4-8F86-462560821DEB}"/>
    <hyperlink ref="G65" r:id="rId168" display="$2.09 " xr:uid="{2BAFA5D7-0BB6-48E7-874A-C7E8738B1BB6}"/>
    <hyperlink ref="H65" r:id="rId169" display="$2.07 " xr:uid="{9C52B51D-2D4F-48EA-9EDD-7FEDCE267D84}"/>
    <hyperlink ref="I65" r:id="rId170" display="$2.26 " xr:uid="{A16E8468-67D6-4EFE-81F2-E1C3B2CD5EA6}"/>
    <hyperlink ref="J65" r:id="rId171" display="$2.53 " xr:uid="{FA307734-5E9F-43D3-85B0-2C0AE7BBBA3C}"/>
    <hyperlink ref="E67" r:id="rId172" display="2.08" xr:uid="{AA4B4406-6476-4AF0-8726-E631C4BD0031}"/>
    <hyperlink ref="F67" r:id="rId173" display="2.22" xr:uid="{52E38646-1ABE-4C91-AA73-15709F3C90F6}"/>
    <hyperlink ref="G67" r:id="rId174" display="2.09" xr:uid="{C5F9D5A6-9A4F-4EDE-A092-46B1E4A831B9}"/>
    <hyperlink ref="H67" r:id="rId175" display="2.07" xr:uid="{A6C5499F-72B9-4A63-8C3D-DE9A920E19CE}"/>
    <hyperlink ref="I67" r:id="rId176" display="2.25" xr:uid="{11341989-C0A8-4904-85EC-D4DDAA418114}"/>
    <hyperlink ref="J67" r:id="rId177" display="2.52" xr:uid="{B8A7E519-31B5-4467-B8B7-504E8A0D50F2}"/>
    <hyperlink ref="E70" r:id="rId178" display="$0.52 " xr:uid="{46FB4F59-B668-4630-A3CD-AC66F68BB6A4}"/>
    <hyperlink ref="F70" r:id="rId179" display="$0.60 " xr:uid="{F2652961-3FD8-40C4-84A9-F0499A754FD6}"/>
    <hyperlink ref="G70" r:id="rId180" display="$0.66 " xr:uid="{FB3B630C-67C3-4211-A507-6C0C47F3A2A1}"/>
    <hyperlink ref="H70" r:id="rId181" display="$0.73 " xr:uid="{B978DD56-4C1D-4ACA-BECE-ED2E6163D304}"/>
    <hyperlink ref="I70" r:id="rId182" display="$0.80 " xr:uid="{2788D72B-465D-4779-BBD3-D261938FFEDA}"/>
    <hyperlink ref="J70" r:id="rId183" display="$0.88 " xr:uid="{DEC34D65-4816-4C9E-9385-9AD7F52185F3}"/>
    <hyperlink ref="E72" r:id="rId184" display="19.90%" xr:uid="{CC93D6EB-A84C-4867-AB00-CD22E0CAEACA}"/>
    <hyperlink ref="F72" r:id="rId185" display="21.00%" xr:uid="{2D31DD81-9AD4-43DF-A0CE-E5BE2A3090CD}"/>
    <hyperlink ref="G72" r:id="rId186" display="24.80%" xr:uid="{75AC01F8-84E9-4C0B-85E5-69027C0843AA}"/>
    <hyperlink ref="H72" r:id="rId187" display="24.70%" xr:uid="{63565EAA-90AA-4F9C-963F-AAF7859E7F8E}"/>
    <hyperlink ref="I72" r:id="rId188" display="27.10%" xr:uid="{2E453BD8-DE36-4546-BE55-DF9896ADBBCD}"/>
    <hyperlink ref="J72" r:id="rId189" display="101.50%" xr:uid="{188ED581-01DC-46FC-8862-F5122FCAB31B}"/>
    <hyperlink ref="E76" r:id="rId190" display="1,652.40" xr:uid="{06C00605-0E37-408E-BB65-94821211679D}"/>
    <hyperlink ref="F76" r:id="rId191" display="1,768.00" xr:uid="{F95539D1-2676-4A03-8E84-B74688A1E42A}"/>
    <hyperlink ref="G76" r:id="rId192" display="1,660.90" xr:uid="{0099196C-6476-43A5-913D-3EC5DDB9E550}"/>
    <hyperlink ref="H76" r:id="rId193" display="2,123.00" xr:uid="{3EEB3FD3-D48F-4E8A-8B49-9FC3ADC4980B}"/>
    <hyperlink ref="I76" r:id="rId194" display="2,250.00" xr:uid="{E366C67B-4C3E-40C4-B27F-F4321B620526}"/>
    <hyperlink ref="J76" r:id="rId195" display="2,351.00" xr:uid="{B8965D3E-4F16-4242-92CD-D7864328F321}"/>
    <hyperlink ref="E77" r:id="rId196" display="1,283.40" xr:uid="{B1FB2F9F-C323-4A9A-A7A3-B566360B83FB}"/>
    <hyperlink ref="F77" r:id="rId197" display="1,365.00" xr:uid="{9F5BF9B6-5A16-4F81-9B30-A7BF84464DFE}"/>
    <hyperlink ref="G77" r:id="rId198" display="1,231.60" xr:uid="{F599B0EE-F8D9-45F7-926F-D5818FA04B60}"/>
    <hyperlink ref="H77" r:id="rId199" display="1,173.00" xr:uid="{42B430BB-8BD4-4AE9-8ECC-FBD059622C50}"/>
    <hyperlink ref="I77" r:id="rId200" display="1,248.00" xr:uid="{478FAAA7-91C3-4F23-B662-8A7013D27E34}"/>
    <hyperlink ref="J77" r:id="rId201" display="1,304.00" xr:uid="{FCBBDB4C-F35C-424A-B2A5-7F1DCEBFAFF9}"/>
    <hyperlink ref="E78" r:id="rId202" display="1,255.90" xr:uid="{2BF16F13-2B03-4123-9B77-1F0A0B18A4D6}"/>
    <hyperlink ref="F78" r:id="rId203" display="1,325.40" xr:uid="{AA0DCD52-E21C-4A89-B06E-F09A8C3741CD}"/>
    <hyperlink ref="G78" r:id="rId204" display="1,192.80" xr:uid="{A681F2C3-8857-4B15-ABF0-7432823A7E3B}"/>
    <hyperlink ref="H78" r:id="rId205" display="1,140.00" xr:uid="{15E851B3-6D92-43CD-8C92-E3BD6E78A44E}"/>
    <hyperlink ref="I78" r:id="rId206" display="1,219.00" xr:uid="{3F2654D3-CA6B-4017-B1AE-CE18DEFD1962}"/>
    <hyperlink ref="J78" r:id="rId207" display="1,276.00" xr:uid="{E25E67FD-8E73-49FC-8EDA-099438385675}"/>
    <hyperlink ref="E79" r:id="rId208" display="1,606.00" xr:uid="{244DDAF9-C024-4A5D-813E-24D64F3247E7}"/>
    <hyperlink ref="F79" r:id="rId209" display="1,706.80" xr:uid="{7EABBB3D-6EC6-42F5-9DDD-FA4ACD99EBAC}"/>
    <hyperlink ref="G79" r:id="rId210" display="1,601.60" xr:uid="{ACA57BA8-0541-47D9-8E53-4CAE4E7DF3FB}"/>
    <hyperlink ref="H79" r:id="rId211" display="2,091.00" xr:uid="{460E98C0-73B6-40AF-B4CA-02989C11AFA2}"/>
    <hyperlink ref="I79" r:id="rId212" display="2,218.00" xr:uid="{956ADD4D-682B-4129-ACCB-0CA2FC04EA67}"/>
    <hyperlink ref="J79" r:id="rId213" display="2,317.00" xr:uid="{DBA9B403-D616-48CE-A803-C83DC34B5F83}"/>
    <hyperlink ref="E80" r:id="rId214" display="25.80%" xr:uid="{99AF2C51-FF30-4DBA-998B-017EED84B2AA}"/>
    <hyperlink ref="F80" r:id="rId215" display="25.00%" xr:uid="{5F20873C-F843-4FB8-986D-F91FE3EEBFD7}"/>
    <hyperlink ref="G80" r:id="rId216" display="24.60%" xr:uid="{05F3AAE9-9676-4106-B7BE-40AA8A9ECAA1}"/>
    <hyperlink ref="H80" r:id="rId217" display="25.90%" xr:uid="{63B66760-9B3E-4379-87D0-E3E8A409DB4D}"/>
    <hyperlink ref="I80" r:id="rId218" display="25.00%" xr:uid="{957AFD7F-0B6B-492A-89E9-BE1EAE4D4F0A}"/>
    <hyperlink ref="J80" r:id="rId219" display="20.10%" xr:uid="{E7B4C463-9700-401F-901B-EF7A2A9BBC63}"/>
    <hyperlink ref="E81" r:id="rId220" display="170.6" xr:uid="{B6E8A9F1-FC09-41CD-89FD-E4228004AA56}"/>
    <hyperlink ref="F81" r:id="rId221" display="230.8" xr:uid="{AD429F81-AF0F-40A0-B2BD-36DB09445A79}"/>
    <hyperlink ref="G81" r:id="rId222" display="212.1" xr:uid="{41B517E1-CA63-4DF5-9BE8-79F04551D83B}"/>
    <hyperlink ref="H81" r:id="rId223" display="170" xr:uid="{1DE115D4-CA00-4392-B825-A2C8DDD8C684}"/>
    <hyperlink ref="I81" r:id="rId224" display="215" xr:uid="{A14349E2-8079-40F7-875A-FE4D34CB9BC4}"/>
    <hyperlink ref="J81" r:id="rId225" display="206" xr:uid="{E388F6BB-65D9-4567-A991-412CAA0B5FB1}"/>
    <hyperlink ref="E82" r:id="rId226" display="95.3" xr:uid="{6DC2649C-704E-49A4-BA88-8983B0259850}"/>
    <hyperlink ref="F82" r:id="rId227" display="39.5" xr:uid="{6B65D4B3-95D3-40BC-972B-CB40A37DF1D8}"/>
    <hyperlink ref="G82" r:id="rId228" display="25.6" xr:uid="{ACD849B3-DD85-4312-94F1-313A64934D3F}"/>
    <hyperlink ref="H82" r:id="rId229" display="96" xr:uid="{FAF2B43A-6B93-4701-AB0E-B41C8D5A0698}"/>
    <hyperlink ref="I82" r:id="rId230" display="34" xr:uid="{5D26F073-B89E-42EC-9577-585D9CF8FB0C}"/>
    <hyperlink ref="J82" r:id="rId231" display="-144" xr:uid="{187BFF1C-6322-4F49-A46C-0DBCB8AB7207}"/>
    <hyperlink ref="E84" r:id="rId232" display="558.9" xr:uid="{459D5A12-E586-4F05-8CF1-6FE5CC20DD70}"/>
    <hyperlink ref="F84" r:id="rId233" display="591.4" xr:uid="{FD3EF87D-4D74-4CB3-8BE2-1268AA9C8B1F}"/>
    <hyperlink ref="G84" r:id="rId234" display="541.8" xr:uid="{61D038AB-8BD8-4D99-9AAF-EDC2CB12F020}"/>
    <hyperlink ref="H84" r:id="rId235" display="514.3" xr:uid="{9E127CFC-11B4-465E-BA62-F2B65A69001A}"/>
    <hyperlink ref="I84" r:id="rId236" display="536.5" xr:uid="{3FB8915A-EEE5-44B2-8E0A-B266CDF5B767}"/>
    <hyperlink ref="J84" r:id="rId237" display="580.1" xr:uid="{786BA4DE-A7DD-4058-A5D8-DD67519ACAD7}"/>
    <hyperlink ref="E86" r:id="rId238" display="0.5" xr:uid="{29C1AED7-F966-47D9-A94D-A36FF1FC836A}"/>
    <hyperlink ref="F86" r:id="rId239" display="0.6" xr:uid="{1DE66F6D-9E09-474D-87DB-30DEEEA11AF8}"/>
    <hyperlink ref="G86" r:id="rId240" display="1.6" xr:uid="{80044125-F2E2-4DFC-8701-23DB5FF62BD2}"/>
    <hyperlink ref="H86" r:id="rId241" display="2" xr:uid="{3EBABFBF-B62C-4795-B0D1-66AEDB65DF64}"/>
    <hyperlink ref="I86" r:id="rId242" display="7" xr:uid="{E811B1A7-5E3B-42E2-B564-28F901A6BD9F}"/>
    <hyperlink ref="J86" r:id="rId243" display="8" xr:uid="{699E900F-049B-40A9-A7DF-4541645C7FB0}"/>
    <hyperlink ref="E88" r:id="rId244" display="293.3" xr:uid="{485828BD-1E7B-420A-AA85-EBB95AE1B256}"/>
    <hyperlink ref="F88" r:id="rId245" display="302.5" xr:uid="{6E668A65-5B7C-4034-B7AD-4CCE7D6A09BB}"/>
    <hyperlink ref="G88" r:id="rId246" display="285.6" xr:uid="{2730064B-DB49-4ADC-95BA-7196E6B4EAA0}"/>
    <hyperlink ref="H88" r:id="rId247" display="304" xr:uid="{02C07DFC-BC12-4533-A227-45640AEF8918}"/>
    <hyperlink ref="I88" r:id="rId248" display="319" xr:uid="{940C893C-18E8-4DC5-A64D-B31E5C4C1197}"/>
    <hyperlink ref="J88" r:id="rId249" display="315" xr:uid="{A12B9D82-0D74-48A5-887B-FA54749E5A83}"/>
    <hyperlink ref="E90" r:id="rId250" display="6.7" xr:uid="{8A848496-44B2-4CC4-ACA0-F7C74AC53A15}"/>
    <hyperlink ref="F90" r:id="rId251" display="6.1" xr:uid="{2AAFD575-1FCF-49CD-816B-0631C4979BCB}"/>
    <hyperlink ref="G90" r:id="rId252" display="5.1" xr:uid="{ACFDF1AA-E7AD-4ED6-B76E-9403C153BC76}"/>
    <hyperlink ref="H90" r:id="rId253" display="4" xr:uid="{0C2930DC-F70C-4D77-B371-17D4F5C12068}"/>
    <hyperlink ref="I90" r:id="rId254" display="5" xr:uid="{E7832BCC-F2B9-4655-B35C-A5354C949107}"/>
    <hyperlink ref="J90" r:id="rId255" display="5" xr:uid="{AD4B1C3F-66E4-4FCA-A7EC-6E0F788EF6A0}"/>
    <hyperlink ref="E94" r:id="rId256" location="restatement" xr:uid="{1D2F12BC-B245-46C6-91B1-4AA49429A00C}"/>
    <hyperlink ref="F94" r:id="rId257" location="restatement" xr:uid="{1930D11A-6944-427C-8B2D-10C0FAEA3FDA}"/>
    <hyperlink ref="G94" r:id="rId258" location="restatement" xr:uid="{C286628E-E611-4F8F-ABCB-322EF981D270}"/>
    <hyperlink ref="H94" r:id="rId259" location="restatement" xr:uid="{5B49908C-B412-49A7-ABA6-DE559A51AF48}"/>
    <hyperlink ref="I94" r:id="rId260" location="restatement" xr:uid="{25C3DB1B-BB92-4743-A438-4EE09EFB20F5}"/>
    <hyperlink ref="J94" r:id="rId261" location="restatement" xr:uid="{416D91EF-8FD2-45C0-A945-58EAB5CAE540}"/>
    <hyperlink ref="E96" r:id="rId262" location="calculation" xr:uid="{95D54E85-2FDE-4295-9636-83FC22788873}"/>
    <hyperlink ref="F96" r:id="rId263" location="calculation" xr:uid="{4FB68D03-21AE-43CE-AD71-5286ECB8F585}"/>
    <hyperlink ref="G96" r:id="rId264" location="calculation" xr:uid="{2E3BBBDF-7B7F-498A-901E-525FFA773F6A}"/>
    <hyperlink ref="H96" r:id="rId265" location="calculation" xr:uid="{0EFC8A18-D1A9-4482-9C62-370718A4F13A}"/>
    <hyperlink ref="I96" r:id="rId266" location="calculation" xr:uid="{2D4404EA-C313-4C2F-A656-5E332B3AA4EF}"/>
    <hyperlink ref="J96" r:id="rId267" location="calculation" xr:uid="{2EEAB2CE-7C43-4887-8085-5E33D5AA07DB}"/>
    <hyperlink ref="E100" r:id="rId268" display="-46.4" xr:uid="{6F8DBFA8-8D26-4ECA-B963-7BE202DD7D7A}"/>
    <hyperlink ref="F100" r:id="rId269" display="-61.2" xr:uid="{33D6C5A2-E359-4D61-8683-B3B2C2C9CC07}"/>
    <hyperlink ref="G100" r:id="rId270" display="-59.3" xr:uid="{E23F88A2-0811-4915-A0D9-4E36DE5767DE}"/>
    <hyperlink ref="H100" r:id="rId271" display="-32" xr:uid="{13DDABBB-1C5F-4D22-9FF7-7CC873F36DD4}"/>
    <hyperlink ref="I100" r:id="rId272" display="-32" xr:uid="{0A5C7A04-F638-4BF8-9450-31ABCCC8406E}"/>
    <hyperlink ref="J100" r:id="rId273" display="-34" xr:uid="{39B428E7-0663-4508-9043-84169CB0B0E3}"/>
    <hyperlink ref="E102" r:id="rId274" display="-15.5" xr:uid="{B567F786-7536-4948-BFDD-D4C2F962335A}"/>
    <hyperlink ref="F102" r:id="rId275" display="-20.3" xr:uid="{7D359819-5A15-432C-8F58-A1C70AD872AF}"/>
    <hyperlink ref="G102" r:id="rId276" display="-18.5" xr:uid="{72F46BC6-98E7-4A56-803B-1CF1103463B3}"/>
    <hyperlink ref="H102" r:id="rId277" display="-10.8" xr:uid="{22C177AE-5720-439D-8D3B-D999A85490C5}"/>
    <hyperlink ref="I102" r:id="rId278" display="-11.3" xr:uid="{02610716-6981-45D3-BF37-B13A85777CAD}"/>
    <hyperlink ref="J102" r:id="rId279" display="-11.5" xr:uid="{D958EC31-BBB6-4EA0-9953-C5D38E495540}"/>
    <hyperlink ref="E104" r:id="rId280" xr:uid="{47034ABF-BF63-44AC-A730-C5FAA51E2146}"/>
    <hyperlink ref="F104" r:id="rId281" xr:uid="{2FB5C76B-42BA-4614-9347-5042D49C7657}"/>
    <hyperlink ref="G104" r:id="rId282" xr:uid="{E14173A9-82CF-4D13-9F6D-095B51F57CC8}"/>
    <hyperlink ref="H104" r:id="rId283" xr:uid="{A3EFB31B-F1F0-4203-A5C0-BBC3CA548C9A}"/>
    <hyperlink ref="I104" r:id="rId284" xr:uid="{C94CF343-4F82-4F43-87FC-50C6F4234348}"/>
    <hyperlink ref="J104" r:id="rId285" xr:uid="{C6596AEB-0D02-4887-BC6A-01973E3788F2}"/>
    <hyperlink ref="E107" r:id="rId286" display="34.7" xr:uid="{11BC4A44-C57D-44D4-9825-3F590D15AF20}"/>
    <hyperlink ref="F107" r:id="rId287" display="18.9" xr:uid="{6C0230D9-EC81-4196-A40E-4990E1BEDB96}"/>
    <hyperlink ref="G107" r:id="rId288" display="-5.9" xr:uid="{B6BC0759-3E22-45DC-913E-A84E3687931E}"/>
    <hyperlink ref="H107" r:id="rId289" display="5" xr:uid="{3B30A753-7878-4761-B41E-FC795A2B1F6E}"/>
    <hyperlink ref="I107" r:id="rId290" display="86" xr:uid="{FEB6298E-77A6-4794-BEB2-E64E167AE4DD}"/>
    <hyperlink ref="J107" r:id="rId291" display="17" xr:uid="{B2274582-5031-4CF6-AB0C-408551984323}"/>
    <hyperlink ref="E109" r:id="rId292" display="11.8" xr:uid="{E32425F7-8311-4A94-AB58-3D66B7CD1584}"/>
    <hyperlink ref="F109" r:id="rId293" display="14.6" xr:uid="{879ADC3F-05F9-416B-95EE-A8E43131D305}"/>
    <hyperlink ref="G109" r:id="rId294" display="17.3" xr:uid="{A5CCA503-2D03-415F-A915-97389812E7AF}"/>
    <hyperlink ref="H109" r:id="rId295" display="10" xr:uid="{93DA7DC5-C1E9-4CC6-83AC-C9C7D3F89762}"/>
    <hyperlink ref="E111" r:id="rId296" display="46.5" xr:uid="{B46AEA8D-8892-4BC8-BD52-407CF5498018}"/>
    <hyperlink ref="F111" r:id="rId297" display="33.5" xr:uid="{7050ED5E-4544-446F-8943-354A0BEF216B}"/>
    <hyperlink ref="G111" r:id="rId298" display="11.4" xr:uid="{24327DC6-7557-46AB-95CC-DC80AD2821D2}"/>
    <hyperlink ref="H111" r:id="rId299" display="15" xr:uid="{53D78516-EEF4-41D4-8952-C240FE434830}"/>
    <hyperlink ref="I111" r:id="rId300" display="86" xr:uid="{316D8C21-9320-48B5-A72A-0EE73CA962F9}"/>
    <hyperlink ref="J111" r:id="rId301" display="17" xr:uid="{D1FC9C2D-4B7F-45A1-8BD5-E1B74FCB00F5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C841D-0DAB-4F66-849C-F72B680CAE9C}">
  <dimension ref="A1:G12"/>
  <sheetViews>
    <sheetView workbookViewId="0">
      <selection activeCell="N23" sqref="N23"/>
    </sheetView>
  </sheetViews>
  <sheetFormatPr defaultRowHeight="14.25"/>
  <cols>
    <col min="1" max="1" width="21" customWidth="1"/>
  </cols>
  <sheetData>
    <row r="1" spans="1:7" ht="16.5">
      <c r="A1" s="96" t="s">
        <v>189</v>
      </c>
      <c r="B1" s="96">
        <v>2021</v>
      </c>
      <c r="C1" s="96">
        <v>2022</v>
      </c>
      <c r="D1" s="96">
        <v>2023</v>
      </c>
      <c r="E1" s="96">
        <v>2024</v>
      </c>
      <c r="F1" s="96">
        <v>2025</v>
      </c>
      <c r="G1" s="96">
        <v>2026</v>
      </c>
    </row>
    <row r="2" spans="1:7" ht="32.25">
      <c r="A2" s="91" t="s">
        <v>190</v>
      </c>
      <c r="B2" s="92">
        <v>1260.7</v>
      </c>
      <c r="C2" s="92">
        <v>1182.8</v>
      </c>
      <c r="D2" s="92">
        <v>339.1</v>
      </c>
      <c r="E2" s="92">
        <v>971.9</v>
      </c>
      <c r="F2" s="92">
        <v>609.70000000000005</v>
      </c>
      <c r="G2" s="95"/>
    </row>
    <row r="3" spans="1:7" ht="16.5">
      <c r="A3" s="91" t="s">
        <v>191</v>
      </c>
      <c r="B3" s="92">
        <v>701.5</v>
      </c>
      <c r="C3" s="92">
        <v>745.8</v>
      </c>
      <c r="D3" s="92">
        <v>686</v>
      </c>
      <c r="E3" s="92">
        <v>726</v>
      </c>
      <c r="F3" s="92">
        <v>700</v>
      </c>
      <c r="G3" s="92">
        <v>198</v>
      </c>
    </row>
    <row r="4" spans="1:7" ht="32.25">
      <c r="A4" s="91" t="s">
        <v>192</v>
      </c>
      <c r="B4" s="93">
        <v>7.7381061987098043E-2</v>
      </c>
      <c r="C4" s="93">
        <v>6.640989073922271E-2</v>
      </c>
      <c r="D4" s="93">
        <v>2.0358418635367574E-2</v>
      </c>
      <c r="E4" s="93">
        <v>5.9415080267517635E-2</v>
      </c>
      <c r="F4" s="93">
        <v>3.7369372682418564E-2</v>
      </c>
      <c r="G4" s="95"/>
    </row>
    <row r="5" spans="1:7" ht="16.5">
      <c r="A5" s="91" t="s">
        <v>193</v>
      </c>
      <c r="B5" s="93">
        <v>2.4756842981973198E-2</v>
      </c>
      <c r="C5" s="93">
        <v>2.4636465139633062E-2</v>
      </c>
      <c r="D5" s="93">
        <v>2.2431568999964031E-2</v>
      </c>
      <c r="E5" s="93">
        <v>2.3571428571428573E-2</v>
      </c>
      <c r="F5" s="93">
        <v>2.2321428571428572E-2</v>
      </c>
      <c r="G5" s="93">
        <v>6.1818976552499294E-3</v>
      </c>
    </row>
    <row r="6" spans="1:7">
      <c r="A6" s="90"/>
      <c r="B6" s="90"/>
      <c r="C6" s="90"/>
      <c r="D6" s="90"/>
      <c r="E6" s="90"/>
      <c r="F6" s="90"/>
      <c r="G6" s="90"/>
    </row>
    <row r="7" spans="1:7">
      <c r="A7" s="90"/>
      <c r="B7" s="90"/>
      <c r="C7" s="90"/>
      <c r="D7" s="90"/>
      <c r="E7" s="90"/>
      <c r="F7" s="90"/>
      <c r="G7" s="90"/>
    </row>
    <row r="8" spans="1:7">
      <c r="A8" s="90"/>
      <c r="B8" s="90"/>
      <c r="C8" s="90"/>
      <c r="D8" s="90"/>
      <c r="E8" s="90"/>
      <c r="F8" s="90"/>
      <c r="G8" s="90"/>
    </row>
    <row r="9" spans="1:7">
      <c r="A9" s="90"/>
      <c r="B9" s="90"/>
      <c r="C9" s="90"/>
      <c r="D9" s="90"/>
      <c r="E9" s="90"/>
      <c r="F9" s="90"/>
      <c r="G9" s="90"/>
    </row>
    <row r="10" spans="1:7">
      <c r="A10" s="90"/>
      <c r="B10" s="90"/>
      <c r="C10" s="90"/>
      <c r="D10" s="90"/>
      <c r="E10" s="90"/>
      <c r="F10" s="90"/>
      <c r="G10" s="90"/>
    </row>
    <row r="11" spans="1:7">
      <c r="A11" s="90"/>
      <c r="B11" s="90"/>
      <c r="C11" s="90"/>
      <c r="D11" s="90"/>
      <c r="E11" s="90"/>
      <c r="F11" s="90"/>
      <c r="G11" s="90"/>
    </row>
    <row r="12" spans="1:7">
      <c r="A12" s="90"/>
      <c r="B12" s="90"/>
      <c r="C12" s="90"/>
      <c r="D12" s="90"/>
      <c r="E12" s="90"/>
      <c r="F12" s="90"/>
      <c r="G12" s="90"/>
    </row>
  </sheetData>
  <hyperlinks>
    <hyperlink ref="B3" r:id="rId1" display="764.2" xr:uid="{023C7B99-FD7E-4835-8716-CF97544FAAFF}"/>
    <hyperlink ref="C3" r:id="rId2" display="727.7" xr:uid="{377076AE-57BE-42A2-A1DF-EAD07389A8E8}"/>
    <hyperlink ref="D3" r:id="rId3" display="746" xr:uid="{BDECC0C8-B83A-41B5-8AAB-94479407341B}"/>
  </hyperlinks>
  <pageMargins left="0.7" right="0.7" top="0.75" bottom="0.75" header="0.3" footer="0.3"/>
  <drawing r:id="rId4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0ED10-8F0B-438C-A9D5-AA4A648B9363}">
  <dimension ref="A1:AM31"/>
  <sheetViews>
    <sheetView tabSelected="1" workbookViewId="0">
      <pane ySplit="1" topLeftCell="O2" activePane="bottomLeft" state="frozen"/>
      <selection pane="bottomLeft" activeCell="AI5" sqref="AI5"/>
    </sheetView>
  </sheetViews>
  <sheetFormatPr defaultColWidth="11.125" defaultRowHeight="43.5" customHeight="1"/>
  <cols>
    <col min="1" max="1" width="17.75" style="90" customWidth="1"/>
    <col min="2" max="16384" width="11.125" style="90"/>
  </cols>
  <sheetData>
    <row r="1" spans="1:39" ht="43.5" customHeight="1">
      <c r="A1" s="90" t="s">
        <v>194</v>
      </c>
      <c r="B1" s="90" t="s">
        <v>195</v>
      </c>
      <c r="C1" s="90" t="s">
        <v>196</v>
      </c>
      <c r="D1" s="90" t="s">
        <v>18</v>
      </c>
      <c r="E1" s="90" t="s">
        <v>25</v>
      </c>
      <c r="F1" s="90" t="s">
        <v>29</v>
      </c>
      <c r="G1" s="90" t="s">
        <v>13</v>
      </c>
      <c r="H1" s="90" t="s">
        <v>197</v>
      </c>
      <c r="I1" s="90" t="s">
        <v>198</v>
      </c>
      <c r="J1" s="90" t="s">
        <v>199</v>
      </c>
      <c r="K1" s="90" t="s">
        <v>200</v>
      </c>
      <c r="L1" s="90" t="s">
        <v>24</v>
      </c>
      <c r="M1" s="90" t="s">
        <v>201</v>
      </c>
      <c r="N1" s="90" t="s">
        <v>202</v>
      </c>
      <c r="O1" s="90" t="s">
        <v>203</v>
      </c>
      <c r="P1" s="90" t="s">
        <v>60</v>
      </c>
      <c r="Q1" s="90" t="s">
        <v>34</v>
      </c>
      <c r="R1" s="90" t="s">
        <v>204</v>
      </c>
      <c r="S1" s="90" t="s">
        <v>128</v>
      </c>
      <c r="T1" s="90" t="s">
        <v>7</v>
      </c>
      <c r="U1" s="90" t="s">
        <v>2</v>
      </c>
      <c r="V1" s="90" t="s">
        <v>4</v>
      </c>
      <c r="W1" s="90" t="s">
        <v>158</v>
      </c>
      <c r="X1" s="90" t="s">
        <v>160</v>
      </c>
      <c r="Y1" s="90" t="s">
        <v>9</v>
      </c>
      <c r="Z1" s="90" t="s">
        <v>41</v>
      </c>
      <c r="AA1" s="90" t="s">
        <v>43</v>
      </c>
      <c r="AB1" s="90" t="s">
        <v>205</v>
      </c>
      <c r="AC1" s="90" t="s">
        <v>206</v>
      </c>
      <c r="AD1" s="90" t="s">
        <v>46</v>
      </c>
      <c r="AE1" s="90" t="s">
        <v>53</v>
      </c>
      <c r="AF1" s="90" t="s">
        <v>54</v>
      </c>
      <c r="AG1" s="90" t="s">
        <v>47</v>
      </c>
      <c r="AH1" s="90" t="s">
        <v>49</v>
      </c>
      <c r="AI1" s="90" t="s">
        <v>207</v>
      </c>
      <c r="AJ1" s="90" t="s">
        <v>208</v>
      </c>
      <c r="AK1" s="90" t="s">
        <v>209</v>
      </c>
      <c r="AL1" s="90" t="s">
        <v>55</v>
      </c>
      <c r="AM1" s="90" t="s">
        <v>57</v>
      </c>
    </row>
    <row r="2" spans="1:39" s="97" customFormat="1" ht="43.5" customHeight="1">
      <c r="A2" s="97" t="s">
        <v>210</v>
      </c>
      <c r="B2" s="97">
        <v>2021</v>
      </c>
      <c r="C2" s="97" t="s">
        <v>211</v>
      </c>
      <c r="D2" s="97">
        <v>13592.1</v>
      </c>
      <c r="E2" s="97">
        <v>7179.3</v>
      </c>
      <c r="F2" s="97">
        <v>6412.8</v>
      </c>
      <c r="G2" s="97">
        <v>1169</v>
      </c>
      <c r="H2" s="97">
        <v>2466.8000000000002</v>
      </c>
      <c r="I2" s="97">
        <v>2198.1999999999998</v>
      </c>
      <c r="J2" s="97">
        <v>445.8</v>
      </c>
      <c r="K2" s="97">
        <v>4564</v>
      </c>
      <c r="L2" s="97">
        <v>2318.1999999999998</v>
      </c>
      <c r="M2" s="97">
        <v>588.29999999999995</v>
      </c>
      <c r="N2" s="97">
        <v>1583.3</v>
      </c>
      <c r="O2" s="97">
        <v>-469.2</v>
      </c>
      <c r="P2" s="97">
        <v>697.2</v>
      </c>
      <c r="Q2" s="97">
        <v>-240.1</v>
      </c>
      <c r="R2" s="97">
        <v>-456.3</v>
      </c>
      <c r="S2" s="97">
        <v>-143.19999999999999</v>
      </c>
      <c r="T2" s="97">
        <v>1120.7</v>
      </c>
      <c r="U2" s="97">
        <v>18283</v>
      </c>
      <c r="V2" s="97">
        <v>3654.8</v>
      </c>
      <c r="W2" s="97">
        <v>1542.8</v>
      </c>
      <c r="X2" s="97">
        <v>1242.5</v>
      </c>
      <c r="Y2" s="97">
        <v>823</v>
      </c>
      <c r="Z2" s="105">
        <v>1.6E-2</v>
      </c>
      <c r="AA2" s="97">
        <v>0.2</v>
      </c>
      <c r="AB2" s="97">
        <v>8.4000000000000005E-2</v>
      </c>
      <c r="AC2" s="97">
        <v>6.8000000000000005E-2</v>
      </c>
      <c r="AD2" s="97">
        <v>4.4999999999999998E-2</v>
      </c>
      <c r="AE2" s="97">
        <v>5.7000000000000002E-2</v>
      </c>
      <c r="AF2" s="97">
        <v>0.13100000000000001</v>
      </c>
      <c r="AG2" s="97">
        <v>1.1000000000000001</v>
      </c>
      <c r="AH2" s="97">
        <v>0.6</v>
      </c>
      <c r="AI2" s="97">
        <v>0.71199999999999997</v>
      </c>
      <c r="AJ2" s="97">
        <v>0.41599999999999998</v>
      </c>
      <c r="AK2" s="97">
        <v>2.7</v>
      </c>
      <c r="AL2" s="97">
        <v>1.4</v>
      </c>
      <c r="AM2" s="97">
        <v>12</v>
      </c>
    </row>
    <row r="3" spans="1:39" s="97" customFormat="1" ht="43.5" customHeight="1">
      <c r="A3" s="97" t="s">
        <v>210</v>
      </c>
      <c r="B3" s="97">
        <v>2022</v>
      </c>
      <c r="C3" s="97" t="s">
        <v>212</v>
      </c>
      <c r="D3" s="97">
        <v>13401.3</v>
      </c>
      <c r="E3" s="97">
        <v>6782.9</v>
      </c>
      <c r="F3" s="97">
        <v>6618.4</v>
      </c>
      <c r="G3" s="97">
        <v>1331.1</v>
      </c>
      <c r="H3" s="97">
        <v>2183.3000000000002</v>
      </c>
      <c r="I3" s="97">
        <v>1952.5</v>
      </c>
      <c r="J3" s="97">
        <v>13.4</v>
      </c>
      <c r="K3" s="97">
        <v>4137.2</v>
      </c>
      <c r="L3" s="97">
        <v>2339.9</v>
      </c>
      <c r="M3" s="97">
        <v>294.60000000000002</v>
      </c>
      <c r="N3" s="97">
        <v>1461.4</v>
      </c>
      <c r="O3" s="97">
        <v>-497.3</v>
      </c>
      <c r="P3" s="97">
        <v>559.6</v>
      </c>
      <c r="Q3" s="97">
        <v>-257.89999999999998</v>
      </c>
      <c r="R3" s="97">
        <v>-470</v>
      </c>
      <c r="S3" s="97">
        <v>-134.19999999999999</v>
      </c>
      <c r="T3" s="97">
        <v>1153.5999999999999</v>
      </c>
      <c r="U3" s="97">
        <v>18888.900000000001</v>
      </c>
      <c r="V3" s="97">
        <v>3783.3</v>
      </c>
      <c r="W3" s="97">
        <v>1634.9</v>
      </c>
      <c r="X3" s="97">
        <v>1315.7</v>
      </c>
      <c r="Y3" s="97">
        <v>846.1</v>
      </c>
      <c r="Z3" s="105">
        <v>3.3000000000000002E-2</v>
      </c>
      <c r="AA3" s="97">
        <v>0.2</v>
      </c>
      <c r="AB3" s="97">
        <v>8.6999999999999994E-2</v>
      </c>
      <c r="AC3" s="97">
        <v>7.0000000000000007E-2</v>
      </c>
      <c r="AD3" s="97">
        <v>4.4999999999999998E-2</v>
      </c>
      <c r="AE3" s="97">
        <v>6.0999999999999999E-2</v>
      </c>
      <c r="AF3" s="97">
        <v>0.13</v>
      </c>
      <c r="AG3" s="97">
        <v>1.1000000000000001</v>
      </c>
      <c r="AH3" s="97">
        <v>0.4</v>
      </c>
      <c r="AI3" s="97">
        <v>0.625</v>
      </c>
      <c r="AJ3" s="97">
        <v>0.38500000000000001</v>
      </c>
      <c r="AK3" s="97">
        <v>2.2999999999999998</v>
      </c>
      <c r="AL3" s="97">
        <v>1.4</v>
      </c>
      <c r="AM3" s="97">
        <v>12.1</v>
      </c>
    </row>
    <row r="4" spans="1:39" s="97" customFormat="1" ht="43.5" customHeight="1">
      <c r="A4" s="97" t="s">
        <v>210</v>
      </c>
      <c r="B4" s="97">
        <v>2023</v>
      </c>
      <c r="C4" s="97" t="s">
        <v>213</v>
      </c>
      <c r="D4" s="97">
        <v>13865.3</v>
      </c>
      <c r="E4" s="97">
        <v>7049</v>
      </c>
      <c r="F4" s="97">
        <v>6816.3</v>
      </c>
      <c r="G4" s="97">
        <v>1451</v>
      </c>
      <c r="H4" s="97">
        <v>2403.6</v>
      </c>
      <c r="I4" s="97">
        <v>1960.8</v>
      </c>
      <c r="J4" s="97">
        <v>29.5</v>
      </c>
      <c r="K4" s="97">
        <v>4337.1000000000004</v>
      </c>
      <c r="L4" s="97">
        <v>2659.1</v>
      </c>
      <c r="M4" s="97">
        <v>297.7</v>
      </c>
      <c r="N4" s="97">
        <v>1563.5</v>
      </c>
      <c r="O4" s="97">
        <v>-580.70000000000005</v>
      </c>
      <c r="P4" s="97">
        <v>485.5</v>
      </c>
      <c r="Q4" s="97">
        <v>-275</v>
      </c>
      <c r="R4" s="97">
        <v>-593.6</v>
      </c>
      <c r="S4" s="97">
        <v>-151.4</v>
      </c>
      <c r="T4" s="97">
        <v>1321.8</v>
      </c>
      <c r="U4" s="97">
        <v>20724.599999999999</v>
      </c>
      <c r="V4" s="97">
        <v>4082.2</v>
      </c>
      <c r="W4" s="97">
        <v>1780.7</v>
      </c>
      <c r="X4" s="97">
        <v>1443.4</v>
      </c>
      <c r="Y4" s="97">
        <v>1014.8</v>
      </c>
      <c r="Z4" s="105">
        <v>9.7000000000000003E-2</v>
      </c>
      <c r="AA4" s="97">
        <v>0.19700000000000001</v>
      </c>
      <c r="AB4" s="97">
        <v>8.5999999999999993E-2</v>
      </c>
      <c r="AC4" s="97">
        <v>7.0000000000000007E-2</v>
      </c>
      <c r="AD4" s="97">
        <v>4.9000000000000002E-2</v>
      </c>
      <c r="AE4" s="97">
        <v>6.6000000000000003E-2</v>
      </c>
      <c r="AF4" s="97">
        <v>0.152</v>
      </c>
      <c r="AG4" s="97">
        <v>1.2</v>
      </c>
      <c r="AH4" s="97">
        <v>0.5</v>
      </c>
      <c r="AI4" s="97">
        <v>0.63600000000000001</v>
      </c>
      <c r="AJ4" s="97">
        <v>0.38900000000000001</v>
      </c>
      <c r="AK4" s="97">
        <v>2.2000000000000002</v>
      </c>
      <c r="AL4" s="97">
        <v>1.5</v>
      </c>
      <c r="AM4" s="97">
        <v>12</v>
      </c>
    </row>
    <row r="5" spans="1:39" s="97" customFormat="1" ht="43.5" customHeight="1">
      <c r="A5" s="97" t="s">
        <v>210</v>
      </c>
      <c r="B5" s="97">
        <v>2024</v>
      </c>
      <c r="C5" s="97" t="s">
        <v>214</v>
      </c>
      <c r="D5" s="97">
        <v>14140.6</v>
      </c>
      <c r="E5" s="97">
        <v>7101.7</v>
      </c>
      <c r="F5" s="97">
        <v>7038.9</v>
      </c>
      <c r="G5" s="97">
        <v>1508.3</v>
      </c>
      <c r="H5" s="97">
        <v>2474</v>
      </c>
      <c r="I5" s="97">
        <v>2285.6</v>
      </c>
      <c r="J5" s="97">
        <v>29.4</v>
      </c>
      <c r="K5" s="97">
        <v>4311.8</v>
      </c>
      <c r="L5" s="97">
        <v>2358.4</v>
      </c>
      <c r="M5" s="97">
        <v>580.79999999999995</v>
      </c>
      <c r="N5" s="97">
        <v>1677</v>
      </c>
      <c r="O5" s="97">
        <v>-482.4</v>
      </c>
      <c r="P5" s="97">
        <v>778</v>
      </c>
      <c r="Q5" s="97">
        <v>-294.60000000000002</v>
      </c>
      <c r="R5" s="97">
        <v>-485.7</v>
      </c>
      <c r="S5" s="97">
        <v>-167.9</v>
      </c>
      <c r="T5" s="97">
        <v>1250.0999999999999</v>
      </c>
      <c r="U5" s="97">
        <v>21219.9</v>
      </c>
      <c r="V5" s="97">
        <v>4179.3</v>
      </c>
      <c r="W5" s="97">
        <v>1790.2</v>
      </c>
      <c r="X5" s="97">
        <v>1416</v>
      </c>
      <c r="Y5" s="97">
        <v>928.8</v>
      </c>
      <c r="Z5" s="105">
        <v>2.4E-2</v>
      </c>
      <c r="AA5" s="97">
        <v>0.19700000000000001</v>
      </c>
      <c r="AB5" s="97">
        <v>8.4000000000000005E-2</v>
      </c>
      <c r="AC5" s="97">
        <v>6.7000000000000004E-2</v>
      </c>
      <c r="AD5" s="97">
        <v>4.3999999999999997E-2</v>
      </c>
      <c r="AE5" s="97">
        <v>6.3E-2</v>
      </c>
      <c r="AF5" s="97">
        <v>0.13400000000000001</v>
      </c>
      <c r="AG5" s="97">
        <v>1.1000000000000001</v>
      </c>
      <c r="AH5" s="97">
        <v>0.4</v>
      </c>
      <c r="AI5" s="97">
        <v>0.61299999999999999</v>
      </c>
      <c r="AJ5" s="97">
        <v>0.38</v>
      </c>
      <c r="AK5" s="97">
        <v>2.2000000000000002</v>
      </c>
      <c r="AL5" s="97">
        <v>1.5</v>
      </c>
      <c r="AM5" s="97">
        <v>11.5</v>
      </c>
    </row>
    <row r="6" spans="1:39" s="97" customFormat="1" ht="43.5" customHeight="1">
      <c r="A6" s="97" t="s">
        <v>210</v>
      </c>
      <c r="B6" s="97">
        <v>2025</v>
      </c>
      <c r="C6" s="97" t="s">
        <v>215</v>
      </c>
      <c r="D6" s="97">
        <v>14539.4</v>
      </c>
      <c r="E6" s="97">
        <v>7494.3</v>
      </c>
      <c r="F6" s="97">
        <v>7045.1</v>
      </c>
      <c r="G6" s="97">
        <v>1604.3</v>
      </c>
      <c r="H6" s="97">
        <v>2661</v>
      </c>
      <c r="I6" s="97">
        <v>2053.8000000000002</v>
      </c>
      <c r="J6" s="97">
        <v>67.3</v>
      </c>
      <c r="K6" s="97">
        <v>4602</v>
      </c>
      <c r="L6" s="97">
        <v>2938.1</v>
      </c>
      <c r="M6" s="97">
        <v>293.10000000000002</v>
      </c>
      <c r="N6" s="97">
        <v>1724.9</v>
      </c>
      <c r="O6" s="97">
        <v>-438.2</v>
      </c>
      <c r="P6" s="97">
        <v>840.6</v>
      </c>
      <c r="Q6" s="97">
        <v>-316.8</v>
      </c>
      <c r="R6" s="97">
        <v>-801.3</v>
      </c>
      <c r="S6" s="97">
        <v>-165.6</v>
      </c>
      <c r="T6" s="97">
        <v>1320.2</v>
      </c>
      <c r="U6" s="97">
        <v>22006.7</v>
      </c>
      <c r="V6" s="97">
        <v>4345.8</v>
      </c>
      <c r="W6" s="97">
        <v>1861.6</v>
      </c>
      <c r="X6" s="97">
        <v>1471.3</v>
      </c>
      <c r="Y6" s="97">
        <v>1017</v>
      </c>
      <c r="Z6" s="105">
        <v>3.6999999999999998E-2</v>
      </c>
      <c r="AA6" s="97">
        <v>0.19700000000000001</v>
      </c>
      <c r="AB6" s="97">
        <v>8.5000000000000006E-2</v>
      </c>
      <c r="AC6" s="97">
        <v>6.7000000000000004E-2</v>
      </c>
      <c r="AD6" s="97">
        <v>4.5999999999999999E-2</v>
      </c>
      <c r="AE6" s="97">
        <v>6.4000000000000001E-2</v>
      </c>
      <c r="AF6" s="97">
        <v>0.14499999999999999</v>
      </c>
      <c r="AG6" s="97">
        <v>1.3</v>
      </c>
      <c r="AH6" s="97">
        <v>0.5</v>
      </c>
      <c r="AI6" s="97">
        <v>0.65300000000000002</v>
      </c>
      <c r="AJ6" s="97">
        <v>0.39500000000000002</v>
      </c>
      <c r="AK6" s="97">
        <v>2.2999999999999998</v>
      </c>
      <c r="AL6" s="97">
        <v>1.5</v>
      </c>
      <c r="AM6" s="97">
        <v>11.3</v>
      </c>
    </row>
    <row r="7" spans="1:39" s="97" customFormat="1" ht="43.5" customHeight="1">
      <c r="A7" s="110" t="s">
        <v>216</v>
      </c>
      <c r="U7" s="97">
        <f>AVERAGE(U2:U6)</f>
        <v>20224.62</v>
      </c>
      <c r="V7" s="97">
        <f>AVERAGE(V2:V6)</f>
        <v>4009.0799999999995</v>
      </c>
      <c r="W7" s="97">
        <f>AVERAGE(W2:W6)</f>
        <v>1722.0399999999997</v>
      </c>
      <c r="X7" s="97">
        <f>AVERAGE(X2:X6)</f>
        <v>1377.7800000000002</v>
      </c>
      <c r="Y7" s="97">
        <f>AVERAGE(Y2:Y6)</f>
        <v>925.93999999999994</v>
      </c>
      <c r="Z7" s="105">
        <f>AVERAGE(Z2:Z6)</f>
        <v>4.1400000000000006E-2</v>
      </c>
      <c r="AA7" s="105">
        <f>AVERAGE(AA2:AA6)</f>
        <v>0.19820000000000002</v>
      </c>
      <c r="AB7" s="97">
        <f>AVERAGE(AB2:AB6)</f>
        <v>8.5200000000000012E-2</v>
      </c>
      <c r="AC7" s="97">
        <f>AVERAGE(AC2:AC6)</f>
        <v>6.8400000000000002E-2</v>
      </c>
      <c r="AD7" s="97">
        <f>AVERAGE(AD2:AD6)</f>
        <v>4.5799999999999993E-2</v>
      </c>
      <c r="AE7" s="97">
        <f>AVERAGE(AE2:AE6)</f>
        <v>6.2199999999999998E-2</v>
      </c>
      <c r="AF7" s="97">
        <f>AVERAGE(AF2:AF6)</f>
        <v>0.13840000000000002</v>
      </c>
      <c r="AG7" s="97">
        <f>AVERAGE(AG2:AG6)</f>
        <v>1.1599999999999999</v>
      </c>
      <c r="AH7" s="97">
        <f>AVERAGE(AH2:AH6)</f>
        <v>0.48</v>
      </c>
      <c r="AI7" s="97">
        <f>AVERAGE(AI2:AI6)</f>
        <v>0.64779999999999993</v>
      </c>
      <c r="AJ7" s="97">
        <f>AVERAGE(AJ2:AJ6)</f>
        <v>0.39299999999999996</v>
      </c>
      <c r="AK7" s="97">
        <f>AVERAGE(AK2:AK6)</f>
        <v>2.34</v>
      </c>
      <c r="AL7" s="97">
        <f>AVERAGE(AL2:AL6)</f>
        <v>1.46</v>
      </c>
      <c r="AM7" s="97">
        <f>AVERAGE(AM2:AM6)</f>
        <v>11.780000000000001</v>
      </c>
    </row>
    <row r="8" spans="1:39" s="98" customFormat="1" ht="43.5" customHeight="1">
      <c r="A8" s="98" t="s">
        <v>217</v>
      </c>
      <c r="B8" s="98">
        <v>2021</v>
      </c>
      <c r="C8" s="99">
        <v>44562</v>
      </c>
      <c r="D8" s="98">
        <v>36614</v>
      </c>
      <c r="E8" s="98">
        <v>24877</v>
      </c>
      <c r="F8" s="98">
        <v>11737</v>
      </c>
      <c r="G8" s="98">
        <v>5166</v>
      </c>
      <c r="H8" s="98">
        <v>12637</v>
      </c>
      <c r="I8" s="98">
        <v>9196</v>
      </c>
      <c r="J8" s="98">
        <v>2441</v>
      </c>
      <c r="K8" s="98">
        <v>16554</v>
      </c>
      <c r="L8" s="98">
        <v>4297</v>
      </c>
      <c r="M8" s="98">
        <v>52</v>
      </c>
      <c r="N8" s="98">
        <v>4827</v>
      </c>
      <c r="O8" s="98">
        <v>-803</v>
      </c>
      <c r="P8" s="98">
        <v>3661</v>
      </c>
      <c r="Q8" s="98">
        <v>-484</v>
      </c>
      <c r="R8" s="98">
        <v>-1250</v>
      </c>
      <c r="S8" s="98">
        <v>-431</v>
      </c>
      <c r="T8" s="98">
        <v>2442</v>
      </c>
      <c r="U8" s="98">
        <v>53170</v>
      </c>
      <c r="V8" s="98">
        <v>16670</v>
      </c>
      <c r="W8" s="98">
        <v>4266</v>
      </c>
      <c r="X8" s="98">
        <v>2927</v>
      </c>
      <c r="Y8" s="98">
        <v>1875</v>
      </c>
      <c r="Z8" s="106">
        <v>8.9999999999999993E-3</v>
      </c>
      <c r="AA8" s="98">
        <v>0.314</v>
      </c>
      <c r="AB8" s="98">
        <v>0.08</v>
      </c>
      <c r="AC8" s="98">
        <v>5.5E-2</v>
      </c>
      <c r="AD8" s="98">
        <v>3.5000000000000003E-2</v>
      </c>
      <c r="AE8" s="98">
        <v>0.05</v>
      </c>
      <c r="AF8" s="98">
        <v>0.17299999999999999</v>
      </c>
      <c r="AG8" s="98">
        <v>1.4</v>
      </c>
      <c r="AH8" s="98">
        <v>0.8</v>
      </c>
      <c r="AI8" s="98">
        <v>1.41</v>
      </c>
      <c r="AJ8" s="98">
        <v>0.58499999999999996</v>
      </c>
      <c r="AK8" s="98">
        <v>3.2</v>
      </c>
      <c r="AL8" s="98">
        <v>1.5</v>
      </c>
      <c r="AM8" s="98">
        <v>7</v>
      </c>
    </row>
    <row r="9" spans="1:39" s="98" customFormat="1" ht="43.5" customHeight="1">
      <c r="A9" s="98" t="s">
        <v>217</v>
      </c>
      <c r="B9" s="98">
        <v>2022</v>
      </c>
      <c r="C9" s="98" t="s">
        <v>218</v>
      </c>
      <c r="D9" s="98">
        <v>38147</v>
      </c>
      <c r="E9" s="98">
        <v>26691</v>
      </c>
      <c r="F9" s="98">
        <v>11456</v>
      </c>
      <c r="G9" s="98">
        <v>5855</v>
      </c>
      <c r="H9" s="98">
        <v>13376</v>
      </c>
      <c r="I9" s="98">
        <v>10098</v>
      </c>
      <c r="J9" s="98">
        <v>1935</v>
      </c>
      <c r="K9" s="98">
        <v>17606</v>
      </c>
      <c r="L9" s="98">
        <v>4866</v>
      </c>
      <c r="M9" s="98">
        <v>8</v>
      </c>
      <c r="N9" s="98">
        <v>4755</v>
      </c>
      <c r="O9" s="98">
        <v>-1152</v>
      </c>
      <c r="P9" s="98">
        <v>3153.1</v>
      </c>
      <c r="Q9" s="98">
        <v>-529</v>
      </c>
      <c r="R9" s="98">
        <v>-1396</v>
      </c>
      <c r="S9" s="98">
        <v>-599</v>
      </c>
      <c r="T9" s="98">
        <v>2659</v>
      </c>
      <c r="U9" s="98">
        <v>56504</v>
      </c>
      <c r="V9" s="98">
        <v>17892</v>
      </c>
      <c r="W9" s="98">
        <v>4698</v>
      </c>
      <c r="X9" s="98">
        <v>3308</v>
      </c>
      <c r="Y9" s="98">
        <v>1921</v>
      </c>
      <c r="Z9" s="106">
        <v>6.3E-2</v>
      </c>
      <c r="AA9" s="98">
        <v>0.317</v>
      </c>
      <c r="AB9" s="98">
        <v>8.3000000000000004E-2</v>
      </c>
      <c r="AC9" s="98">
        <v>5.8999999999999997E-2</v>
      </c>
      <c r="AD9" s="98">
        <v>3.4000000000000002E-2</v>
      </c>
      <c r="AE9" s="98">
        <v>5.5E-2</v>
      </c>
      <c r="AF9" s="98">
        <v>0.17199999999999999</v>
      </c>
      <c r="AG9" s="98">
        <v>1.3</v>
      </c>
      <c r="AH9" s="98">
        <v>0.7</v>
      </c>
      <c r="AI9" s="98">
        <v>1.5369999999999999</v>
      </c>
      <c r="AJ9" s="98">
        <v>0.60599999999999998</v>
      </c>
      <c r="AK9" s="98">
        <v>3.1</v>
      </c>
      <c r="AL9" s="98">
        <v>1.5</v>
      </c>
      <c r="AM9" s="98">
        <v>7</v>
      </c>
    </row>
    <row r="10" spans="1:39" s="98" customFormat="1" ht="43.5" customHeight="1">
      <c r="A10" s="98" t="s">
        <v>217</v>
      </c>
      <c r="B10" s="98">
        <v>2023</v>
      </c>
      <c r="C10" s="98" t="s">
        <v>219</v>
      </c>
      <c r="D10" s="98">
        <v>38979</v>
      </c>
      <c r="E10" s="98">
        <v>27360</v>
      </c>
      <c r="F10" s="98">
        <v>11619</v>
      </c>
      <c r="G10" s="98">
        <v>5820</v>
      </c>
      <c r="H10" s="98">
        <v>13578</v>
      </c>
      <c r="I10" s="98">
        <v>10847</v>
      </c>
      <c r="J10" s="98">
        <v>1953</v>
      </c>
      <c r="K10" s="98">
        <v>18173</v>
      </c>
      <c r="L10" s="98">
        <v>4460</v>
      </c>
      <c r="M10" s="98">
        <v>13</v>
      </c>
      <c r="N10" s="98">
        <v>5654</v>
      </c>
      <c r="O10" s="98">
        <v>-1665</v>
      </c>
      <c r="P10" s="98">
        <v>2835.8</v>
      </c>
      <c r="Q10" s="98">
        <v>-562</v>
      </c>
      <c r="R10" s="98">
        <v>-1801</v>
      </c>
      <c r="S10" s="98">
        <v>-660</v>
      </c>
      <c r="T10" s="98">
        <v>2901</v>
      </c>
      <c r="U10" s="98">
        <v>59529</v>
      </c>
      <c r="V10" s="98">
        <v>18894</v>
      </c>
      <c r="W10" s="98">
        <v>5014</v>
      </c>
      <c r="X10" s="98">
        <v>3578</v>
      </c>
      <c r="Y10" s="98">
        <v>2100</v>
      </c>
      <c r="Z10" s="106">
        <v>5.3999999999999999E-2</v>
      </c>
      <c r="AA10" s="98">
        <v>0.317</v>
      </c>
      <c r="AB10" s="98">
        <v>8.4000000000000005E-2</v>
      </c>
      <c r="AC10" s="98">
        <v>0.06</v>
      </c>
      <c r="AD10" s="98">
        <v>3.5000000000000003E-2</v>
      </c>
      <c r="AE10" s="98">
        <v>5.8000000000000003E-2</v>
      </c>
      <c r="AF10" s="98">
        <v>0.19</v>
      </c>
      <c r="AG10" s="98">
        <v>1.3</v>
      </c>
      <c r="AH10" s="98">
        <v>0.7</v>
      </c>
      <c r="AI10" s="98">
        <v>1.5640000000000001</v>
      </c>
      <c r="AJ10" s="98">
        <v>0.61</v>
      </c>
      <c r="AK10" s="98">
        <v>3</v>
      </c>
      <c r="AL10" s="98">
        <v>1.5</v>
      </c>
      <c r="AM10" s="98">
        <v>6.9</v>
      </c>
    </row>
    <row r="11" spans="1:39" s="98" customFormat="1" ht="43.5" customHeight="1">
      <c r="A11" s="98" t="s">
        <v>217</v>
      </c>
      <c r="B11" s="98">
        <v>2024</v>
      </c>
      <c r="C11" s="98" t="s">
        <v>220</v>
      </c>
      <c r="D11" s="98">
        <v>40880</v>
      </c>
      <c r="E11" s="98">
        <v>29614</v>
      </c>
      <c r="F11" s="98">
        <v>11266</v>
      </c>
      <c r="G11" s="98">
        <v>6330</v>
      </c>
      <c r="H11" s="98">
        <v>14548</v>
      </c>
      <c r="I11" s="98">
        <v>11768</v>
      </c>
      <c r="J11" s="98">
        <v>2110</v>
      </c>
      <c r="K11" s="98">
        <v>19184</v>
      </c>
      <c r="L11" s="98">
        <v>7570</v>
      </c>
      <c r="N11" s="98">
        <v>5802</v>
      </c>
      <c r="O11" s="98">
        <v>-1823</v>
      </c>
      <c r="P11" s="98">
        <v>3006.4</v>
      </c>
      <c r="Q11" s="98">
        <v>-459</v>
      </c>
      <c r="R11" s="98">
        <v>-1826</v>
      </c>
      <c r="S11" s="98">
        <v>-706</v>
      </c>
      <c r="T11" s="98">
        <v>2791</v>
      </c>
      <c r="U11" s="98">
        <v>60123</v>
      </c>
      <c r="V11" s="98">
        <v>18835</v>
      </c>
      <c r="W11" s="98">
        <v>5119</v>
      </c>
      <c r="X11" s="98">
        <v>3665</v>
      </c>
      <c r="Y11" s="98">
        <v>2171</v>
      </c>
      <c r="Z11" s="106">
        <v>0.01</v>
      </c>
      <c r="AA11" s="98">
        <v>0.313</v>
      </c>
      <c r="AB11" s="98">
        <v>8.5000000000000006E-2</v>
      </c>
      <c r="AC11" s="98">
        <v>6.0999999999999999E-2</v>
      </c>
      <c r="AD11" s="98">
        <v>3.5999999999999997E-2</v>
      </c>
      <c r="AE11" s="98">
        <v>5.7000000000000002E-2</v>
      </c>
      <c r="AF11" s="98">
        <v>0.18</v>
      </c>
      <c r="AG11" s="98">
        <v>1.2</v>
      </c>
      <c r="AH11" s="98">
        <v>0.7</v>
      </c>
      <c r="AI11" s="98">
        <v>1.7030000000000001</v>
      </c>
      <c r="AJ11" s="98">
        <v>0.63</v>
      </c>
      <c r="AK11" s="98">
        <v>3.1</v>
      </c>
      <c r="AL11" s="98">
        <v>1.5</v>
      </c>
      <c r="AM11" s="98">
        <v>6.8</v>
      </c>
    </row>
    <row r="12" spans="1:39" s="98" customFormat="1" ht="43.5" customHeight="1">
      <c r="A12" s="98" t="s">
        <v>217</v>
      </c>
      <c r="B12" s="98">
        <v>2025</v>
      </c>
      <c r="C12" s="99">
        <v>46082</v>
      </c>
      <c r="D12" s="98">
        <v>41577</v>
      </c>
      <c r="E12" s="98">
        <v>30385</v>
      </c>
      <c r="F12" s="98">
        <v>11192</v>
      </c>
      <c r="G12" s="98">
        <v>6491</v>
      </c>
      <c r="H12" s="98">
        <v>14928</v>
      </c>
      <c r="I12" s="98">
        <v>13870</v>
      </c>
      <c r="J12" s="98">
        <v>1041</v>
      </c>
      <c r="K12" s="98">
        <v>16305</v>
      </c>
      <c r="L12" s="98">
        <v>5891</v>
      </c>
      <c r="N12" s="98">
        <v>6264</v>
      </c>
      <c r="O12" s="98">
        <v>-1712</v>
      </c>
      <c r="P12" s="98">
        <v>3774.3</v>
      </c>
      <c r="Q12" s="98">
        <v>-812</v>
      </c>
      <c r="R12" s="98">
        <v>-1981</v>
      </c>
      <c r="S12" s="98">
        <v>-763</v>
      </c>
      <c r="T12" s="98">
        <v>3682</v>
      </c>
      <c r="U12" s="98">
        <v>63903</v>
      </c>
      <c r="V12" s="98">
        <v>20032</v>
      </c>
      <c r="W12" s="98">
        <v>5635</v>
      </c>
      <c r="X12" s="98">
        <v>4469</v>
      </c>
      <c r="Y12" s="98">
        <v>2667</v>
      </c>
      <c r="Z12" s="106">
        <v>6.3E-2</v>
      </c>
      <c r="AA12" s="98">
        <v>0.313</v>
      </c>
      <c r="AB12" s="98">
        <v>8.7999999999999995E-2</v>
      </c>
      <c r="AC12" s="98">
        <v>7.0000000000000007E-2</v>
      </c>
      <c r="AD12" s="98">
        <v>4.2000000000000003E-2</v>
      </c>
      <c r="AE12" s="98">
        <v>6.8000000000000005E-2</v>
      </c>
      <c r="AF12" s="98">
        <v>0.23200000000000001</v>
      </c>
      <c r="AG12" s="98">
        <v>1.1000000000000001</v>
      </c>
      <c r="AH12" s="98">
        <v>0.2</v>
      </c>
      <c r="AI12" s="98">
        <v>1.4570000000000001</v>
      </c>
      <c r="AJ12" s="98">
        <v>0.59299999999999997</v>
      </c>
      <c r="AK12" s="98">
        <v>2.4</v>
      </c>
      <c r="AL12" s="98">
        <v>1.5</v>
      </c>
      <c r="AM12" s="98">
        <v>6.8</v>
      </c>
    </row>
    <row r="13" spans="1:39" s="98" customFormat="1" ht="43.5" customHeight="1">
      <c r="A13" s="111" t="s">
        <v>216</v>
      </c>
      <c r="C13" s="99"/>
      <c r="U13" s="98">
        <f>AVERAGE(U8:U12)</f>
        <v>58645.8</v>
      </c>
      <c r="V13" s="98">
        <f>AVERAGE(V8:V12)</f>
        <v>18464.599999999999</v>
      </c>
      <c r="W13" s="98">
        <f>AVERAGE(W8:W12)</f>
        <v>4946.3999999999996</v>
      </c>
      <c r="X13" s="98">
        <f>AVERAGE(X8:X12)</f>
        <v>3589.4</v>
      </c>
      <c r="Y13" s="98">
        <f>AVERAGE(Y8:Y12)</f>
        <v>2146.8000000000002</v>
      </c>
      <c r="Z13" s="106">
        <f>AVERAGE(Z8:Z12)</f>
        <v>3.9800000000000002E-2</v>
      </c>
      <c r="AA13" s="106">
        <f>AVERAGE(AA8:AA12)</f>
        <v>0.31479999999999997</v>
      </c>
      <c r="AB13" s="98">
        <f>AVERAGE(AB8:AB12)</f>
        <v>8.4000000000000005E-2</v>
      </c>
      <c r="AC13" s="98">
        <f>AVERAGE(AC8:AC12)</f>
        <v>6.0999999999999999E-2</v>
      </c>
      <c r="AD13" s="98">
        <f>AVERAGE(AD8:AD12)</f>
        <v>3.6400000000000002E-2</v>
      </c>
      <c r="AE13" s="98">
        <f>AVERAGE(AE8:AE12)</f>
        <v>5.7600000000000005E-2</v>
      </c>
      <c r="AF13" s="98">
        <f>AVERAGE(AF8:AF12)</f>
        <v>0.18939999999999996</v>
      </c>
      <c r="AG13" s="98">
        <f>AVERAGE(AG8:AG12)</f>
        <v>1.2600000000000002</v>
      </c>
      <c r="AH13" s="98">
        <f>AVERAGE(AH8:AH12)</f>
        <v>0.62000000000000011</v>
      </c>
      <c r="AI13" s="98">
        <f>AVERAGE(AI8:AI12)</f>
        <v>1.5342</v>
      </c>
      <c r="AJ13" s="98">
        <f>AVERAGE(AJ8:AJ12)</f>
        <v>0.60479999999999989</v>
      </c>
      <c r="AK13" s="98">
        <f>AVERAGE(AK8:AK12)</f>
        <v>2.96</v>
      </c>
      <c r="AL13" s="98">
        <f>AVERAGE(AL8:AL12)</f>
        <v>1.5</v>
      </c>
      <c r="AM13" s="98">
        <f>AVERAGE(AM8:AM12)</f>
        <v>6.9</v>
      </c>
    </row>
    <row r="14" spans="1:39" s="100" customFormat="1" ht="43.5" customHeight="1">
      <c r="A14" s="100" t="s">
        <v>221</v>
      </c>
      <c r="B14" s="100">
        <v>2021</v>
      </c>
      <c r="C14" s="101">
        <v>44201</v>
      </c>
      <c r="D14" s="100">
        <v>15173.9</v>
      </c>
      <c r="E14" s="100">
        <v>10675.9</v>
      </c>
      <c r="F14" s="100">
        <v>4498</v>
      </c>
      <c r="G14" s="100">
        <v>1500.1</v>
      </c>
      <c r="H14" s="100">
        <v>3193.5</v>
      </c>
      <c r="I14" s="100">
        <v>3488.2</v>
      </c>
      <c r="J14" s="100">
        <v>890.5</v>
      </c>
      <c r="K14" s="100">
        <v>7133.4</v>
      </c>
      <c r="L14" s="100">
        <v>1178.8</v>
      </c>
      <c r="M14" s="100">
        <v>46.5</v>
      </c>
      <c r="N14" s="100">
        <v>1859.6</v>
      </c>
      <c r="O14" s="100">
        <v>-566.29999999999995</v>
      </c>
      <c r="P14" s="100">
        <v>707.3</v>
      </c>
      <c r="Q14" s="100">
        <v>-139.4</v>
      </c>
      <c r="R14" s="100">
        <v>-153.6</v>
      </c>
      <c r="S14" s="100">
        <v>-292.8</v>
      </c>
      <c r="T14" s="100">
        <v>1030.0999999999999</v>
      </c>
      <c r="U14" s="100">
        <v>28335.599999999999</v>
      </c>
      <c r="V14" s="100">
        <v>7266.6</v>
      </c>
      <c r="W14" s="100">
        <v>1652.4</v>
      </c>
      <c r="X14" s="100">
        <v>1255.9000000000001</v>
      </c>
      <c r="Y14" s="100">
        <v>701.5</v>
      </c>
      <c r="Z14" s="107">
        <v>6.2E-2</v>
      </c>
      <c r="AA14" s="100">
        <v>0.25600000000000001</v>
      </c>
      <c r="AB14" s="100">
        <v>5.8000000000000003E-2</v>
      </c>
      <c r="AC14" s="100">
        <v>4.3999999999999997E-2</v>
      </c>
      <c r="AD14" s="100">
        <v>2.5000000000000001E-2</v>
      </c>
      <c r="AE14" s="100">
        <v>5.2999999999999999E-2</v>
      </c>
      <c r="AF14" s="100">
        <v>0.18</v>
      </c>
      <c r="AG14" s="100">
        <v>0.9</v>
      </c>
      <c r="AH14" s="100">
        <v>0.5</v>
      </c>
      <c r="AI14" s="100">
        <v>1.5860000000000001</v>
      </c>
      <c r="AJ14" s="100">
        <v>0.61299999999999999</v>
      </c>
      <c r="AK14" s="100">
        <v>3.5</v>
      </c>
      <c r="AL14" s="100">
        <v>1.9</v>
      </c>
      <c r="AM14" s="100">
        <v>14.1</v>
      </c>
    </row>
    <row r="15" spans="1:39" s="100" customFormat="1" ht="43.5" customHeight="1">
      <c r="A15" s="100" t="s">
        <v>221</v>
      </c>
      <c r="B15" s="100">
        <v>2022</v>
      </c>
      <c r="C15" s="101">
        <v>44747</v>
      </c>
      <c r="D15" s="100">
        <v>16593.599999999999</v>
      </c>
      <c r="E15" s="100">
        <v>11459.7</v>
      </c>
      <c r="F15" s="100">
        <v>5133.8999999999996</v>
      </c>
      <c r="G15" s="100">
        <v>1591.5</v>
      </c>
      <c r="H15" s="100">
        <v>3212.7</v>
      </c>
      <c r="I15" s="100">
        <v>4239.7</v>
      </c>
      <c r="J15" s="100">
        <v>812.3</v>
      </c>
      <c r="K15" s="100">
        <v>7462.1</v>
      </c>
      <c r="L15" s="100">
        <v>595.70000000000005</v>
      </c>
      <c r="M15" s="100">
        <v>581</v>
      </c>
      <c r="N15" s="100">
        <v>2107.1</v>
      </c>
      <c r="O15" s="100">
        <v>-633</v>
      </c>
      <c r="P15" s="100">
        <v>962.4</v>
      </c>
      <c r="Q15" s="100">
        <v>-156.80000000000001</v>
      </c>
      <c r="R15" s="100">
        <v>-248.9</v>
      </c>
      <c r="S15" s="100">
        <v>-301.89999999999998</v>
      </c>
      <c r="T15" s="100">
        <v>1081.5999999999999</v>
      </c>
      <c r="U15" s="100">
        <v>30272.2</v>
      </c>
      <c r="V15" s="100">
        <v>7769.5</v>
      </c>
      <c r="W15" s="100">
        <v>1768</v>
      </c>
      <c r="X15" s="100">
        <v>1325.4</v>
      </c>
      <c r="Y15" s="100">
        <v>745.8</v>
      </c>
      <c r="Z15" s="107">
        <v>6.8000000000000005E-2</v>
      </c>
      <c r="AA15" s="100">
        <v>0.25700000000000001</v>
      </c>
      <c r="AB15" s="100">
        <v>5.8000000000000003E-2</v>
      </c>
      <c r="AC15" s="100">
        <v>4.3999999999999997E-2</v>
      </c>
      <c r="AD15" s="100">
        <v>2.5000000000000001E-2</v>
      </c>
      <c r="AE15" s="100">
        <v>5.1999999999999998E-2</v>
      </c>
      <c r="AF15" s="100">
        <v>0.16800000000000001</v>
      </c>
      <c r="AG15" s="100">
        <v>0.8</v>
      </c>
      <c r="AH15" s="100">
        <v>0.4</v>
      </c>
      <c r="AI15" s="100">
        <v>1.4530000000000001</v>
      </c>
      <c r="AJ15" s="100">
        <v>0.59199999999999997</v>
      </c>
      <c r="AK15" s="100">
        <v>3.3</v>
      </c>
      <c r="AL15" s="100">
        <v>1.9</v>
      </c>
      <c r="AM15" s="100">
        <v>14.6</v>
      </c>
    </row>
    <row r="16" spans="1:39" s="100" customFormat="1" ht="43.5" customHeight="1">
      <c r="A16" s="100" t="s">
        <v>221</v>
      </c>
      <c r="B16" s="100">
        <v>2023</v>
      </c>
      <c r="C16" s="101">
        <v>45082</v>
      </c>
      <c r="D16" s="100">
        <v>16483.7</v>
      </c>
      <c r="E16" s="100">
        <v>11147</v>
      </c>
      <c r="F16" s="100">
        <v>5336.7</v>
      </c>
      <c r="G16" s="100">
        <v>1743.3</v>
      </c>
      <c r="H16" s="100">
        <v>2955</v>
      </c>
      <c r="I16" s="100">
        <v>3857.5</v>
      </c>
      <c r="J16" s="100">
        <v>221.3</v>
      </c>
      <c r="K16" s="100">
        <v>7196.9</v>
      </c>
      <c r="L16" s="100">
        <v>911.3</v>
      </c>
      <c r="M16" s="100">
        <v>101</v>
      </c>
      <c r="N16" s="100">
        <v>1605.3</v>
      </c>
      <c r="O16" s="100">
        <v>-574.20000000000005</v>
      </c>
      <c r="P16" s="100">
        <v>564.20000000000005</v>
      </c>
      <c r="Q16" s="100">
        <v>-170.2</v>
      </c>
      <c r="R16" s="100">
        <v>-350</v>
      </c>
      <c r="S16" s="100">
        <v>-284</v>
      </c>
      <c r="T16" s="100">
        <v>965.4</v>
      </c>
      <c r="U16" s="100">
        <v>30581.9</v>
      </c>
      <c r="V16" s="100">
        <v>7896.5</v>
      </c>
      <c r="W16" s="100">
        <v>1660.9</v>
      </c>
      <c r="X16" s="100">
        <v>1192.8</v>
      </c>
      <c r="Y16" s="100">
        <v>686</v>
      </c>
      <c r="Z16" s="107">
        <v>0.01</v>
      </c>
      <c r="AA16" s="100">
        <v>0.25800000000000001</v>
      </c>
      <c r="AB16" s="100">
        <v>5.3999999999999999E-2</v>
      </c>
      <c r="AC16" s="100">
        <v>3.9E-2</v>
      </c>
      <c r="AD16" s="100">
        <v>2.1999999999999999E-2</v>
      </c>
      <c r="AE16" s="100">
        <v>4.4999999999999998E-2</v>
      </c>
      <c r="AF16" s="100">
        <v>0.13900000000000001</v>
      </c>
      <c r="AG16" s="100">
        <v>0.8</v>
      </c>
      <c r="AH16" s="100">
        <v>0.3</v>
      </c>
      <c r="AI16" s="100">
        <v>1.349</v>
      </c>
      <c r="AJ16" s="100">
        <v>0.57399999999999995</v>
      </c>
      <c r="AK16" s="100">
        <v>3.4</v>
      </c>
      <c r="AL16" s="100">
        <v>1.8</v>
      </c>
      <c r="AM16" s="100">
        <v>13.6</v>
      </c>
    </row>
    <row r="17" spans="1:39" s="100" customFormat="1" ht="43.5" customHeight="1">
      <c r="A17" s="100" t="s">
        <v>221</v>
      </c>
      <c r="B17" s="100">
        <v>2024</v>
      </c>
      <c r="C17" s="101">
        <v>45387</v>
      </c>
      <c r="D17" s="100">
        <v>16790</v>
      </c>
      <c r="E17" s="100">
        <v>11321</v>
      </c>
      <c r="F17" s="100">
        <v>5469</v>
      </c>
      <c r="G17" s="100">
        <v>1772</v>
      </c>
      <c r="H17" s="100">
        <v>3104</v>
      </c>
      <c r="I17" s="100">
        <v>3891</v>
      </c>
      <c r="J17" s="100">
        <v>260</v>
      </c>
      <c r="K17" s="100">
        <v>7361</v>
      </c>
      <c r="L17" s="100">
        <v>982</v>
      </c>
      <c r="M17" s="100">
        <v>114</v>
      </c>
      <c r="N17" s="100">
        <v>2073</v>
      </c>
      <c r="O17" s="100">
        <v>-705</v>
      </c>
      <c r="P17" s="100">
        <v>699.4</v>
      </c>
      <c r="Q17" s="100">
        <v>-179</v>
      </c>
      <c r="R17" s="100">
        <v>-400</v>
      </c>
      <c r="S17" s="100">
        <v>-304</v>
      </c>
      <c r="T17" s="100">
        <v>1029</v>
      </c>
      <c r="U17" s="100">
        <v>30800</v>
      </c>
      <c r="V17" s="100">
        <v>8138</v>
      </c>
      <c r="W17" s="100">
        <v>2123</v>
      </c>
      <c r="X17" s="100">
        <v>1140</v>
      </c>
      <c r="Y17" s="100">
        <v>726</v>
      </c>
      <c r="Z17" s="107">
        <v>7.0000000000000001E-3</v>
      </c>
      <c r="AA17" s="100">
        <v>0.26400000000000001</v>
      </c>
      <c r="AB17" s="100">
        <v>6.9000000000000006E-2</v>
      </c>
      <c r="AC17" s="100">
        <v>3.6999999999999998E-2</v>
      </c>
      <c r="AD17" s="100">
        <v>2.4E-2</v>
      </c>
      <c r="AE17" s="100">
        <v>4.2999999999999997E-2</v>
      </c>
      <c r="AF17" s="100">
        <v>0.14099999999999999</v>
      </c>
      <c r="AG17" s="100">
        <v>0.8</v>
      </c>
      <c r="AH17" s="100">
        <v>0.3</v>
      </c>
      <c r="AI17" s="100">
        <v>1.3460000000000001</v>
      </c>
      <c r="AJ17" s="100">
        <v>0.57399999999999995</v>
      </c>
      <c r="AK17" s="100">
        <v>3.5</v>
      </c>
      <c r="AL17" s="100">
        <v>1.9</v>
      </c>
      <c r="AM17" s="100">
        <v>12.9</v>
      </c>
    </row>
    <row r="18" spans="1:39" s="100" customFormat="1" ht="43.5" customHeight="1">
      <c r="A18" s="100" t="s">
        <v>221</v>
      </c>
      <c r="B18" s="100">
        <v>2025</v>
      </c>
      <c r="C18" s="101">
        <v>45721</v>
      </c>
      <c r="D18" s="100">
        <v>17019</v>
      </c>
      <c r="E18" s="100">
        <v>11475</v>
      </c>
      <c r="F18" s="100">
        <v>5544</v>
      </c>
      <c r="G18" s="100">
        <v>1833</v>
      </c>
      <c r="H18" s="100">
        <v>3134</v>
      </c>
      <c r="I18" s="100">
        <v>4096</v>
      </c>
      <c r="J18" s="100">
        <v>285</v>
      </c>
      <c r="K18" s="100">
        <v>7464</v>
      </c>
      <c r="L18" s="100">
        <v>857</v>
      </c>
      <c r="M18" s="100">
        <v>225</v>
      </c>
      <c r="N18" s="100">
        <v>2127</v>
      </c>
      <c r="O18" s="100">
        <v>-640</v>
      </c>
      <c r="P18" s="100">
        <v>1095.0999999999999</v>
      </c>
      <c r="Q18" s="100">
        <v>-190</v>
      </c>
      <c r="R18" s="100">
        <v>-400</v>
      </c>
      <c r="S18" s="100">
        <v>-319</v>
      </c>
      <c r="T18" s="100">
        <v>995</v>
      </c>
      <c r="U18" s="100">
        <v>31360</v>
      </c>
      <c r="V18" s="100">
        <v>8465</v>
      </c>
      <c r="W18" s="100">
        <v>2291</v>
      </c>
      <c r="X18" s="100">
        <v>1260</v>
      </c>
      <c r="Y18" s="100">
        <v>700</v>
      </c>
      <c r="Z18" s="107">
        <v>1.7999999999999999E-2</v>
      </c>
      <c r="AA18" s="100">
        <v>0.27</v>
      </c>
      <c r="AB18" s="100">
        <v>7.2999999999999995E-2</v>
      </c>
      <c r="AC18" s="100">
        <v>0.04</v>
      </c>
      <c r="AD18" s="100">
        <v>2.1999999999999999E-2</v>
      </c>
      <c r="AE18" s="100">
        <v>4.7E-2</v>
      </c>
      <c r="AF18" s="100">
        <v>0.13500000000000001</v>
      </c>
      <c r="AG18" s="100">
        <v>0.8</v>
      </c>
      <c r="AH18" s="100">
        <v>0.3</v>
      </c>
      <c r="AI18" s="100">
        <v>1.3460000000000001</v>
      </c>
      <c r="AJ18" s="100">
        <v>0.57399999999999995</v>
      </c>
      <c r="AK18" s="100">
        <v>3.3</v>
      </c>
      <c r="AL18" s="100">
        <v>1.9</v>
      </c>
      <c r="AM18" s="100">
        <v>12.7</v>
      </c>
    </row>
    <row r="19" spans="1:39" s="100" customFormat="1" ht="43.5" customHeight="1">
      <c r="C19" s="101"/>
      <c r="U19" s="112">
        <f>AVERAGE(U14:U18)</f>
        <v>30269.940000000002</v>
      </c>
      <c r="V19" s="112">
        <f>AVERAGE(V14:V18)</f>
        <v>7907.12</v>
      </c>
      <c r="W19" s="112">
        <f>AVERAGE(W14:W18)</f>
        <v>1899.06</v>
      </c>
      <c r="X19" s="112">
        <f>AVERAGE(X14:X18)</f>
        <v>1234.8200000000002</v>
      </c>
      <c r="Y19" s="112">
        <f>AVERAGE(Y14:Y18)</f>
        <v>711.86</v>
      </c>
      <c r="Z19" s="113">
        <f>AVERAGE(Z14:Z18)</f>
        <v>3.3000000000000002E-2</v>
      </c>
      <c r="AA19" s="113">
        <f>AVERAGE(AA14:AA18)</f>
        <v>0.26100000000000001</v>
      </c>
      <c r="AB19" s="112">
        <f>AVERAGE(AB14:AB18)</f>
        <v>6.2399999999999997E-2</v>
      </c>
      <c r="AC19" s="112">
        <f>AVERAGE(AC14:AC18)</f>
        <v>4.0800000000000003E-2</v>
      </c>
      <c r="AD19" s="112">
        <f>AVERAGE(AD14:AD18)</f>
        <v>2.3599999999999999E-2</v>
      </c>
      <c r="AE19" s="112">
        <f>AVERAGE(AE14:AE18)</f>
        <v>4.8000000000000001E-2</v>
      </c>
      <c r="AF19" s="112">
        <f>AVERAGE(AF14:AF18)</f>
        <v>0.15260000000000001</v>
      </c>
      <c r="AG19" s="112">
        <f>AVERAGE(AG14:AG18)</f>
        <v>0.82</v>
      </c>
      <c r="AH19" s="112">
        <f>AVERAGE(AH14:AH18)</f>
        <v>0.36</v>
      </c>
      <c r="AI19" s="112">
        <f>AVERAGE(AI14:AI18)</f>
        <v>1.4159999999999999</v>
      </c>
      <c r="AJ19" s="112">
        <f>AVERAGE(AJ14:AJ18)</f>
        <v>0.58539999999999992</v>
      </c>
      <c r="AK19" s="112">
        <f>AVERAGE(AK14:AK18)</f>
        <v>3.4</v>
      </c>
      <c r="AL19" s="112">
        <f>AVERAGE(AL14:AL18)</f>
        <v>1.8800000000000001</v>
      </c>
      <c r="AM19" s="112">
        <f>AVERAGE(AM14:AM18)</f>
        <v>13.579999999999998</v>
      </c>
    </row>
    <row r="20" spans="1:39" s="102" customFormat="1" ht="43.5" customHeight="1">
      <c r="A20" s="102" t="s">
        <v>222</v>
      </c>
      <c r="B20" s="102">
        <v>2021</v>
      </c>
      <c r="C20" s="102" t="s">
        <v>223</v>
      </c>
      <c r="D20" s="102">
        <v>4223.7</v>
      </c>
      <c r="E20" s="102">
        <v>3888.9</v>
      </c>
      <c r="F20" s="102">
        <v>334.9</v>
      </c>
      <c r="G20" s="102">
        <v>630.70000000000005</v>
      </c>
      <c r="H20" s="102">
        <v>1100.4000000000001</v>
      </c>
      <c r="I20" s="102">
        <v>1321.2</v>
      </c>
      <c r="J20" s="102">
        <v>439.1</v>
      </c>
      <c r="K20" s="102">
        <v>3460.6</v>
      </c>
      <c r="L20" s="102">
        <v>1044.0999999999999</v>
      </c>
      <c r="M20" s="102">
        <v>1014.7</v>
      </c>
      <c r="N20" s="102">
        <v>888.6</v>
      </c>
      <c r="O20" s="102">
        <v>-140</v>
      </c>
      <c r="P20" s="102">
        <v>645.29999999999995</v>
      </c>
      <c r="Q20" s="102">
        <v>-54.8</v>
      </c>
      <c r="R20" s="102">
        <v>-87</v>
      </c>
      <c r="S20" s="102">
        <v>-95.6</v>
      </c>
      <c r="T20" s="102">
        <v>765.4</v>
      </c>
      <c r="U20" s="102">
        <v>4026.3</v>
      </c>
      <c r="V20" s="102">
        <v>1911.6</v>
      </c>
      <c r="W20" s="102">
        <v>999.3</v>
      </c>
      <c r="X20" s="102">
        <v>925.3</v>
      </c>
      <c r="Y20" s="102">
        <v>564.29999999999995</v>
      </c>
      <c r="Z20" s="108">
        <v>6.3E-2</v>
      </c>
      <c r="AA20" s="102">
        <v>0.47499999999999998</v>
      </c>
      <c r="AB20" s="102">
        <v>0.248</v>
      </c>
      <c r="AC20" s="102">
        <v>0.23</v>
      </c>
      <c r="AD20" s="102">
        <v>0.14000000000000001</v>
      </c>
      <c r="AE20" s="102">
        <v>0.14599999999999999</v>
      </c>
      <c r="AF20" s="102">
        <v>4.6509999999999998</v>
      </c>
      <c r="AG20" s="102">
        <v>0.8</v>
      </c>
      <c r="AH20" s="102">
        <v>0.3</v>
      </c>
      <c r="AI20" s="102">
        <v>10.335000000000001</v>
      </c>
      <c r="AJ20" s="102">
        <v>0.91200000000000003</v>
      </c>
      <c r="AK20" s="102">
        <v>2.9</v>
      </c>
      <c r="AL20" s="102">
        <v>1</v>
      </c>
      <c r="AM20" s="102">
        <v>3.4</v>
      </c>
    </row>
    <row r="21" spans="1:39" s="102" customFormat="1" ht="43.5" customHeight="1">
      <c r="A21" s="102" t="s">
        <v>222</v>
      </c>
      <c r="B21" s="102">
        <v>2022</v>
      </c>
      <c r="C21" s="102" t="s">
        <v>224</v>
      </c>
      <c r="D21" s="102">
        <v>4063.6</v>
      </c>
      <c r="E21" s="102">
        <v>4129.6000000000004</v>
      </c>
      <c r="F21" s="102">
        <v>-66</v>
      </c>
      <c r="G21" s="102">
        <v>590.9</v>
      </c>
      <c r="H21" s="102">
        <v>717.4</v>
      </c>
      <c r="I21" s="102">
        <v>911.9</v>
      </c>
      <c r="J21" s="102">
        <v>71.099999999999994</v>
      </c>
      <c r="K21" s="102">
        <v>3616.7</v>
      </c>
      <c r="L21" s="102">
        <v>1539.2</v>
      </c>
      <c r="M21" s="102">
        <v>550.9</v>
      </c>
      <c r="N21" s="102">
        <v>1159.2</v>
      </c>
      <c r="O21" s="102">
        <v>-136.80000000000001</v>
      </c>
      <c r="P21" s="102">
        <v>776.4</v>
      </c>
      <c r="Q21" s="102">
        <v>-60.5</v>
      </c>
      <c r="R21" s="102">
        <v>-1059.9000000000001</v>
      </c>
      <c r="S21" s="102">
        <v>-91.2</v>
      </c>
      <c r="T21" s="102">
        <v>893.4</v>
      </c>
      <c r="U21" s="102">
        <v>4330.8</v>
      </c>
      <c r="V21" s="102">
        <v>2049</v>
      </c>
      <c r="W21" s="102">
        <v>1070.5999999999999</v>
      </c>
      <c r="X21" s="102">
        <v>986.9</v>
      </c>
      <c r="Y21" s="102">
        <v>663.2</v>
      </c>
      <c r="Z21" s="108">
        <v>7.5999999999999998E-2</v>
      </c>
      <c r="AA21" s="102">
        <v>0.47299999999999998</v>
      </c>
      <c r="AB21" s="102">
        <v>0.247</v>
      </c>
      <c r="AC21" s="102">
        <v>0.22800000000000001</v>
      </c>
      <c r="AD21" s="102">
        <v>0.153</v>
      </c>
      <c r="AE21" s="102">
        <v>0.14899999999999999</v>
      </c>
      <c r="AF21" s="102">
        <v>4.9340000000000002</v>
      </c>
      <c r="AG21" s="102">
        <v>0.8</v>
      </c>
      <c r="AH21" s="102">
        <v>0.1</v>
      </c>
      <c r="AI21" s="102" t="s">
        <v>184</v>
      </c>
      <c r="AJ21" s="102">
        <v>1.0189999999999999</v>
      </c>
      <c r="AK21" s="102">
        <v>2.9</v>
      </c>
      <c r="AL21" s="102">
        <v>1</v>
      </c>
      <c r="AM21" s="102">
        <v>3.7</v>
      </c>
    </row>
    <row r="22" spans="1:39" s="102" customFormat="1" ht="43.5" customHeight="1">
      <c r="A22" s="102" t="s">
        <v>222</v>
      </c>
      <c r="B22" s="102">
        <v>2023</v>
      </c>
      <c r="C22" s="102" t="s">
        <v>225</v>
      </c>
      <c r="D22" s="102">
        <v>4819.7</v>
      </c>
      <c r="E22" s="102">
        <v>4791.2</v>
      </c>
      <c r="F22" s="102">
        <v>28.4</v>
      </c>
      <c r="G22" s="102">
        <v>957.2</v>
      </c>
      <c r="H22" s="102">
        <v>1156.9000000000001</v>
      </c>
      <c r="I22" s="102">
        <v>1162.9000000000001</v>
      </c>
      <c r="J22" s="102">
        <v>101.3</v>
      </c>
      <c r="K22" s="102">
        <v>4218.8</v>
      </c>
      <c r="L22" s="102">
        <v>1741.6</v>
      </c>
      <c r="M22" s="102">
        <v>735.3</v>
      </c>
      <c r="N22" s="102">
        <v>869</v>
      </c>
      <c r="O22" s="102">
        <v>-134</v>
      </c>
      <c r="P22" s="102">
        <v>483.4</v>
      </c>
      <c r="Q22" s="102">
        <v>-63</v>
      </c>
      <c r="R22" s="102">
        <v>-689</v>
      </c>
      <c r="S22" s="102">
        <v>-126.8</v>
      </c>
      <c r="T22" s="102">
        <v>1076.0999999999999</v>
      </c>
      <c r="U22" s="102">
        <v>5052.7</v>
      </c>
      <c r="V22" s="102">
        <v>2351</v>
      </c>
      <c r="W22" s="102">
        <v>1239.0999999999999</v>
      </c>
      <c r="X22" s="102">
        <v>1146.0999999999999</v>
      </c>
      <c r="Y22" s="102">
        <v>801.9</v>
      </c>
      <c r="Z22" s="108">
        <v>0.16700000000000001</v>
      </c>
      <c r="AA22" s="102">
        <v>0.46500000000000002</v>
      </c>
      <c r="AB22" s="102">
        <v>0.245</v>
      </c>
      <c r="AC22" s="102">
        <v>0.22700000000000001</v>
      </c>
      <c r="AD22" s="102">
        <v>0.159</v>
      </c>
      <c r="AE22" s="102">
        <v>0.161</v>
      </c>
      <c r="AF22" s="102" t="s">
        <v>184</v>
      </c>
      <c r="AG22" s="102">
        <v>1</v>
      </c>
      <c r="AH22" s="102">
        <v>0.1</v>
      </c>
      <c r="AI22" s="102">
        <v>148.49700000000001</v>
      </c>
      <c r="AJ22" s="102">
        <v>0.99299999999999999</v>
      </c>
      <c r="AK22" s="102">
        <v>2.9</v>
      </c>
      <c r="AL22" s="102">
        <v>1.1000000000000001</v>
      </c>
      <c r="AM22" s="102">
        <v>3.5</v>
      </c>
    </row>
    <row r="23" spans="1:39" s="102" customFormat="1" ht="43.5" customHeight="1">
      <c r="A23" s="102" t="s">
        <v>222</v>
      </c>
      <c r="B23" s="102">
        <v>2024</v>
      </c>
      <c r="C23" s="102" t="s">
        <v>226</v>
      </c>
      <c r="D23" s="102">
        <v>5263.6</v>
      </c>
      <c r="E23" s="102">
        <v>4882.8</v>
      </c>
      <c r="F23" s="102">
        <v>380.8</v>
      </c>
      <c r="G23" s="102">
        <v>916.8</v>
      </c>
      <c r="H23" s="102">
        <v>1309.0999999999999</v>
      </c>
      <c r="I23" s="102">
        <v>677.8</v>
      </c>
      <c r="J23" s="102">
        <v>315.89999999999998</v>
      </c>
      <c r="K23" s="102">
        <v>4333.6000000000004</v>
      </c>
      <c r="L23" s="102">
        <v>2242.9</v>
      </c>
      <c r="M23" s="102">
        <v>256</v>
      </c>
      <c r="N23" s="102">
        <v>1531</v>
      </c>
      <c r="O23" s="102">
        <v>-252.7</v>
      </c>
      <c r="P23" s="102">
        <v>939.8</v>
      </c>
      <c r="Q23" s="102">
        <v>-76.099999999999994</v>
      </c>
      <c r="R23" s="102">
        <v>-655.9</v>
      </c>
      <c r="S23" s="102">
        <v>-167.2</v>
      </c>
      <c r="T23" s="102">
        <v>1350.9</v>
      </c>
      <c r="U23" s="102">
        <v>5867.3</v>
      </c>
      <c r="V23" s="102">
        <v>2613.4</v>
      </c>
      <c r="W23" s="102">
        <v>1524.4</v>
      </c>
      <c r="X23" s="102">
        <v>1420.4</v>
      </c>
      <c r="Y23" s="102">
        <v>1010.5</v>
      </c>
      <c r="Z23" s="108">
        <v>0.161</v>
      </c>
      <c r="AA23" s="102">
        <v>0.44500000000000001</v>
      </c>
      <c r="AB23" s="102">
        <v>0.26</v>
      </c>
      <c r="AC23" s="102">
        <v>0.24199999999999999</v>
      </c>
      <c r="AD23" s="102">
        <v>0.17199999999999999</v>
      </c>
      <c r="AE23" s="102">
        <v>0.17599999999999999</v>
      </c>
      <c r="AF23" s="102">
        <v>4.9379999999999997</v>
      </c>
      <c r="AG23" s="102">
        <v>1.9</v>
      </c>
      <c r="AH23" s="102">
        <v>0.6</v>
      </c>
      <c r="AI23" s="102">
        <v>11.379</v>
      </c>
      <c r="AJ23" s="102">
        <v>0.91900000000000004</v>
      </c>
      <c r="AK23" s="102">
        <v>2.5</v>
      </c>
      <c r="AL23" s="102">
        <v>1.2</v>
      </c>
      <c r="AM23" s="102">
        <v>3.5</v>
      </c>
    </row>
    <row r="24" spans="1:39" s="102" customFormat="1" ht="43.5" customHeight="1">
      <c r="A24" s="102" t="s">
        <v>222</v>
      </c>
      <c r="B24" s="102">
        <v>2025</v>
      </c>
      <c r="C24" s="102" t="s">
        <v>227</v>
      </c>
      <c r="D24" s="102">
        <v>6482.6</v>
      </c>
      <c r="E24" s="102">
        <v>5294.3</v>
      </c>
      <c r="F24" s="102">
        <v>1188.3</v>
      </c>
      <c r="G24" s="102">
        <v>921.1</v>
      </c>
      <c r="H24" s="102">
        <v>1201.3</v>
      </c>
      <c r="I24" s="102">
        <v>1014.3</v>
      </c>
      <c r="J24" s="102">
        <v>135</v>
      </c>
      <c r="K24" s="102">
        <v>4709.7</v>
      </c>
      <c r="L24" s="102">
        <v>2008.9</v>
      </c>
      <c r="M24" s="102">
        <v>552.5</v>
      </c>
      <c r="N24" s="102">
        <v>1644.1</v>
      </c>
      <c r="O24" s="102">
        <v>-212.8</v>
      </c>
      <c r="P24" s="102">
        <v>1021</v>
      </c>
      <c r="Q24" s="102">
        <v>-97.2</v>
      </c>
      <c r="R24" s="102">
        <v>-1090.7</v>
      </c>
      <c r="S24" s="102">
        <v>-187.5</v>
      </c>
      <c r="T24" s="102">
        <v>1546.9</v>
      </c>
      <c r="U24" s="102">
        <v>6413.1</v>
      </c>
      <c r="V24" s="102">
        <v>2893.7</v>
      </c>
      <c r="W24" s="102">
        <v>1697</v>
      </c>
      <c r="X24" s="102">
        <v>1580.8</v>
      </c>
      <c r="Y24" s="102">
        <v>1168.5</v>
      </c>
      <c r="Z24" s="108">
        <v>9.2999999999999999E-2</v>
      </c>
      <c r="AA24" s="102">
        <v>0.45100000000000001</v>
      </c>
      <c r="AB24" s="102">
        <v>0.26500000000000001</v>
      </c>
      <c r="AC24" s="102">
        <v>0.246</v>
      </c>
      <c r="AD24" s="102">
        <v>0.182</v>
      </c>
      <c r="AE24" s="102">
        <v>0.16800000000000001</v>
      </c>
      <c r="AF24" s="102">
        <v>1.4890000000000001</v>
      </c>
      <c r="AG24" s="102">
        <v>1.2</v>
      </c>
      <c r="AH24" s="102">
        <v>0.2</v>
      </c>
      <c r="AI24" s="102">
        <v>3.9630000000000001</v>
      </c>
      <c r="AJ24" s="102">
        <v>0.79900000000000004</v>
      </c>
      <c r="AK24" s="102">
        <v>2.4</v>
      </c>
      <c r="AL24" s="102">
        <v>1.1000000000000001</v>
      </c>
      <c r="AM24" s="102">
        <v>3.8</v>
      </c>
    </row>
    <row r="25" spans="1:39" s="102" customFormat="1" ht="43.5" customHeight="1">
      <c r="U25" s="102">
        <f>AVERAGE(U20:U24)</f>
        <v>5138.0399999999991</v>
      </c>
      <c r="V25" s="102">
        <f>AVERAGE(V20:V24)</f>
        <v>2363.7400000000002</v>
      </c>
      <c r="W25" s="102">
        <f>AVERAGE(W20:W24)</f>
        <v>1306.08</v>
      </c>
      <c r="X25" s="102">
        <f>AVERAGE(X20:X24)</f>
        <v>1211.9000000000001</v>
      </c>
      <c r="Y25" s="102">
        <f>AVERAGE(Y20:Y24)</f>
        <v>841.68</v>
      </c>
      <c r="Z25" s="108">
        <f>AVERAGE(Z20:Z24)</f>
        <v>0.11200000000000002</v>
      </c>
      <c r="AA25" s="108">
        <f>AVERAGE(AA20:AA24)</f>
        <v>0.46180000000000004</v>
      </c>
      <c r="AB25" s="102">
        <f>AVERAGE(AB20:AB24)</f>
        <v>0.253</v>
      </c>
      <c r="AC25" s="102">
        <f>AVERAGE(AC20:AC24)</f>
        <v>0.2346</v>
      </c>
      <c r="AD25" s="102">
        <f>AVERAGE(AD20:AD24)</f>
        <v>0.16120000000000001</v>
      </c>
      <c r="AE25" s="102">
        <f>AVERAGE(AE20:AE24)</f>
        <v>0.15999999999999998</v>
      </c>
      <c r="AF25" s="102">
        <f>AVERAGE(AF20:AF24)</f>
        <v>4.0030000000000001</v>
      </c>
      <c r="AG25" s="102">
        <f>AVERAGE(AG20:AG24)</f>
        <v>1.1400000000000001</v>
      </c>
      <c r="AH25" s="102">
        <f>AVERAGE(AH20:AH24)</f>
        <v>0.26</v>
      </c>
      <c r="AI25" s="102">
        <f>AVERAGE(AI20:AI24)</f>
        <v>43.543500000000002</v>
      </c>
      <c r="AJ25" s="102">
        <f>AVERAGE(AJ20:AJ24)</f>
        <v>0.92840000000000011</v>
      </c>
      <c r="AK25" s="102">
        <f>AVERAGE(AK20:AK24)</f>
        <v>2.7199999999999998</v>
      </c>
      <c r="AL25" s="102">
        <f>AVERAGE(AL20:AL24)</f>
        <v>1.08</v>
      </c>
      <c r="AM25" s="102">
        <f>AVERAGE(AM20:AM24)</f>
        <v>3.5799999999999996</v>
      </c>
    </row>
    <row r="26" spans="1:39" s="103" customFormat="1" ht="43.5" customHeight="1">
      <c r="A26" s="103" t="s">
        <v>228</v>
      </c>
      <c r="B26" s="103">
        <v>2021</v>
      </c>
      <c r="C26" s="104">
        <v>44562</v>
      </c>
      <c r="D26" s="103">
        <v>21802.2</v>
      </c>
      <c r="E26" s="103">
        <v>15291.4</v>
      </c>
      <c r="F26" s="103">
        <v>6510.8</v>
      </c>
      <c r="G26" s="103">
        <v>2480.6</v>
      </c>
      <c r="H26" s="103">
        <v>11646.6</v>
      </c>
      <c r="I26" s="103">
        <v>6790</v>
      </c>
      <c r="J26" s="103">
        <v>2357.9</v>
      </c>
      <c r="K26" s="103">
        <v>10556.2</v>
      </c>
      <c r="L26" s="103">
        <v>1379.1</v>
      </c>
      <c r="M26" s="103">
        <v>58</v>
      </c>
      <c r="N26" s="103">
        <v>1735.9</v>
      </c>
      <c r="O26" s="103">
        <v>-630.6</v>
      </c>
      <c r="P26" s="103">
        <v>1378.9</v>
      </c>
      <c r="Q26" s="103">
        <v>-271.10000000000002</v>
      </c>
      <c r="R26" s="103">
        <v>-131.1</v>
      </c>
      <c r="S26" s="103">
        <v>-236.2</v>
      </c>
      <c r="T26" s="103">
        <v>1701.9</v>
      </c>
      <c r="U26" s="103">
        <v>16292.1</v>
      </c>
      <c r="V26" s="103">
        <v>5478.1</v>
      </c>
      <c r="W26" s="103">
        <v>2230.8000000000002</v>
      </c>
      <c r="X26" s="103">
        <v>1941.6</v>
      </c>
      <c r="Y26" s="103">
        <v>1127.5999999999999</v>
      </c>
      <c r="Z26" s="109">
        <v>9.6000000000000002E-2</v>
      </c>
      <c r="AA26" s="103">
        <v>0.33600000000000002</v>
      </c>
      <c r="AB26" s="103">
        <v>0.13700000000000001</v>
      </c>
      <c r="AC26" s="103">
        <v>0.11899999999999999</v>
      </c>
      <c r="AD26" s="103">
        <v>6.9000000000000006E-2</v>
      </c>
      <c r="AE26" s="103">
        <v>5.8000000000000003E-2</v>
      </c>
      <c r="AF26" s="103">
        <v>0.20399999999999999</v>
      </c>
      <c r="AG26" s="103">
        <v>1.7</v>
      </c>
      <c r="AH26" s="103">
        <v>1.3</v>
      </c>
      <c r="AI26" s="103">
        <v>1.621</v>
      </c>
      <c r="AJ26" s="103">
        <v>0.61899999999999999</v>
      </c>
      <c r="AK26" s="103">
        <v>4.2</v>
      </c>
      <c r="AL26" s="103">
        <v>0.8</v>
      </c>
      <c r="AM26" s="103">
        <v>4.2</v>
      </c>
    </row>
    <row r="27" spans="1:39" s="103" customFormat="1" ht="43.5" customHeight="1">
      <c r="A27" s="103" t="s">
        <v>228</v>
      </c>
      <c r="B27" s="103">
        <v>2022</v>
      </c>
      <c r="C27" s="103" t="s">
        <v>218</v>
      </c>
      <c r="D27" s="103">
        <v>22102.3</v>
      </c>
      <c r="E27" s="103">
        <v>15063.1</v>
      </c>
      <c r="F27" s="103">
        <v>7039.2</v>
      </c>
      <c r="G27" s="103">
        <v>3216.1</v>
      </c>
      <c r="H27" s="103">
        <v>11530.4</v>
      </c>
      <c r="I27" s="103">
        <v>7147</v>
      </c>
      <c r="J27" s="103">
        <v>507.6</v>
      </c>
      <c r="K27" s="103">
        <v>10212.200000000001</v>
      </c>
      <c r="L27" s="103">
        <v>1148.4000000000001</v>
      </c>
      <c r="M27" s="103">
        <v>126.6</v>
      </c>
      <c r="N27" s="103">
        <v>466.5</v>
      </c>
      <c r="O27" s="103">
        <v>-612.5</v>
      </c>
      <c r="P27" s="103">
        <v>-752.8</v>
      </c>
      <c r="Q27" s="103">
        <v>-325.8</v>
      </c>
      <c r="R27" s="103">
        <v>-425.4</v>
      </c>
      <c r="S27" s="103">
        <v>-251.9</v>
      </c>
      <c r="T27" s="103">
        <v>1583.8</v>
      </c>
      <c r="U27" s="103">
        <v>17810.599999999999</v>
      </c>
      <c r="V27" s="103">
        <v>5735.6</v>
      </c>
      <c r="W27" s="103">
        <v>2216.6</v>
      </c>
      <c r="X27" s="103">
        <v>1924.5</v>
      </c>
      <c r="Y27" s="103">
        <v>1044.0999999999999</v>
      </c>
      <c r="Z27" s="109">
        <v>9.2999999999999999E-2</v>
      </c>
      <c r="AA27" s="103">
        <v>0.32200000000000001</v>
      </c>
      <c r="AB27" s="103">
        <v>0.124</v>
      </c>
      <c r="AC27" s="103">
        <v>0.108</v>
      </c>
      <c r="AD27" s="103">
        <v>5.8999999999999997E-2</v>
      </c>
      <c r="AE27" s="103">
        <v>5.5E-2</v>
      </c>
      <c r="AF27" s="103">
        <v>0.17499999999999999</v>
      </c>
      <c r="AG27" s="103">
        <v>1.6</v>
      </c>
      <c r="AH27" s="103">
        <v>1.1000000000000001</v>
      </c>
      <c r="AI27" s="103">
        <v>1.4510000000000001</v>
      </c>
      <c r="AJ27" s="103">
        <v>0.59199999999999997</v>
      </c>
      <c r="AK27" s="103">
        <v>4</v>
      </c>
      <c r="AL27" s="103">
        <v>0.8</v>
      </c>
      <c r="AM27" s="103">
        <v>3.9</v>
      </c>
    </row>
    <row r="28" spans="1:39" s="103" customFormat="1" ht="43.5" customHeight="1">
      <c r="A28" s="103" t="s">
        <v>228</v>
      </c>
      <c r="B28" s="103">
        <v>2023</v>
      </c>
      <c r="C28" s="103" t="s">
        <v>219</v>
      </c>
      <c r="D28" s="103">
        <v>21978.3</v>
      </c>
      <c r="E28" s="103">
        <v>15533.5</v>
      </c>
      <c r="F28" s="103">
        <v>6444.8</v>
      </c>
      <c r="G28" s="103">
        <v>2693.7</v>
      </c>
      <c r="H28" s="103">
        <v>11293.1</v>
      </c>
      <c r="I28" s="103">
        <v>6389</v>
      </c>
      <c r="J28" s="103">
        <v>105.4</v>
      </c>
      <c r="K28" s="103">
        <v>11659</v>
      </c>
      <c r="L28" s="103">
        <v>2419.1999999999998</v>
      </c>
      <c r="M28" s="103">
        <v>525.6</v>
      </c>
      <c r="N28" s="103">
        <v>1353.7</v>
      </c>
      <c r="O28" s="103">
        <v>-580.9</v>
      </c>
      <c r="P28" s="103">
        <v>-60.9</v>
      </c>
      <c r="Q28" s="103">
        <v>-360.8</v>
      </c>
      <c r="R28" s="103">
        <v>-376.1</v>
      </c>
      <c r="S28" s="103">
        <v>-361.3</v>
      </c>
      <c r="T28" s="103">
        <v>572.79999999999995</v>
      </c>
      <c r="U28" s="103">
        <v>16656.5</v>
      </c>
      <c r="V28" s="103">
        <v>5699.9</v>
      </c>
      <c r="W28" s="103">
        <v>1636.7</v>
      </c>
      <c r="X28" s="103">
        <v>1317.6</v>
      </c>
      <c r="Y28" s="103">
        <v>213.3</v>
      </c>
      <c r="Z28" s="109">
        <v>-6.5000000000000002E-2</v>
      </c>
      <c r="AA28" s="103">
        <v>0.34200000000000003</v>
      </c>
      <c r="AB28" s="103">
        <v>9.8000000000000004E-2</v>
      </c>
      <c r="AC28" s="103">
        <v>7.9000000000000001E-2</v>
      </c>
      <c r="AD28" s="103">
        <v>1.2999999999999999E-2</v>
      </c>
      <c r="AE28" s="103">
        <v>3.6999999999999998E-2</v>
      </c>
      <c r="AF28" s="103">
        <v>0.05</v>
      </c>
      <c r="AG28" s="103">
        <v>1.8</v>
      </c>
      <c r="AH28" s="103">
        <v>1.3</v>
      </c>
      <c r="AI28" s="103">
        <v>1.8089999999999999</v>
      </c>
      <c r="AJ28" s="103">
        <v>0.64400000000000002</v>
      </c>
      <c r="AK28" s="103">
        <v>5.9</v>
      </c>
      <c r="AL28" s="103">
        <v>0.8</v>
      </c>
      <c r="AM28" s="103">
        <v>3.5</v>
      </c>
    </row>
    <row r="29" spans="1:39" s="103" customFormat="1" ht="43.5" customHeight="1">
      <c r="A29" s="103" t="s">
        <v>228</v>
      </c>
      <c r="B29" s="103">
        <v>2024</v>
      </c>
      <c r="C29" s="103" t="s">
        <v>220</v>
      </c>
      <c r="D29" s="103">
        <v>22240.6</v>
      </c>
      <c r="E29" s="103">
        <v>15152.3</v>
      </c>
      <c r="F29" s="103">
        <v>7088.3</v>
      </c>
      <c r="G29" s="103">
        <v>2558.3000000000002</v>
      </c>
      <c r="H29" s="103">
        <v>11347.9</v>
      </c>
      <c r="I29" s="103">
        <v>6335.4</v>
      </c>
      <c r="J29" s="103">
        <v>176</v>
      </c>
      <c r="K29" s="103">
        <v>10899.2</v>
      </c>
      <c r="L29" s="103">
        <v>1900.6</v>
      </c>
      <c r="M29" s="103">
        <v>2</v>
      </c>
      <c r="N29" s="103">
        <v>2063.8000000000002</v>
      </c>
      <c r="O29" s="103">
        <v>-567.79999999999995</v>
      </c>
      <c r="P29" s="103">
        <v>1029.2</v>
      </c>
      <c r="Q29" s="103">
        <v>-359.8</v>
      </c>
      <c r="R29" s="103">
        <v>-29.8</v>
      </c>
      <c r="S29" s="103">
        <v>-384.6</v>
      </c>
      <c r="T29" s="103">
        <v>1175.0999999999999</v>
      </c>
      <c r="U29" s="103">
        <v>15516</v>
      </c>
      <c r="V29" s="103">
        <v>4820.8999999999996</v>
      </c>
      <c r="W29" s="103">
        <v>1546.5</v>
      </c>
      <c r="X29" s="103">
        <v>1247.0999999999999</v>
      </c>
      <c r="Y29" s="103">
        <v>887.7</v>
      </c>
      <c r="Z29" s="109">
        <v>-6.8000000000000005E-2</v>
      </c>
      <c r="AA29" s="103">
        <v>0.311</v>
      </c>
      <c r="AB29" s="103">
        <v>0.1</v>
      </c>
      <c r="AC29" s="103">
        <v>0.08</v>
      </c>
      <c r="AD29" s="103">
        <v>5.7000000000000002E-2</v>
      </c>
      <c r="AE29" s="103">
        <v>3.5000000000000003E-2</v>
      </c>
      <c r="AF29" s="103">
        <v>0.13500000000000001</v>
      </c>
      <c r="AG29" s="103">
        <v>1.8</v>
      </c>
      <c r="AH29" s="103">
        <v>1.3</v>
      </c>
      <c r="AI29" s="103">
        <v>1.538</v>
      </c>
      <c r="AJ29" s="103">
        <v>0.60599999999999998</v>
      </c>
      <c r="AK29" s="103">
        <v>5.8</v>
      </c>
      <c r="AL29" s="103">
        <v>0.7</v>
      </c>
      <c r="AM29" s="103">
        <v>3.6</v>
      </c>
    </row>
    <row r="30" spans="1:39" s="103" customFormat="1" ht="43.5" customHeight="1">
      <c r="A30" s="103" t="s">
        <v>228</v>
      </c>
      <c r="B30" s="103">
        <v>2025</v>
      </c>
      <c r="C30" s="104">
        <v>46082</v>
      </c>
      <c r="D30" s="103">
        <v>21539.8</v>
      </c>
      <c r="E30" s="103">
        <v>14725.9</v>
      </c>
      <c r="F30" s="103">
        <v>6813.9</v>
      </c>
      <c r="G30" s="103">
        <v>2417.5</v>
      </c>
      <c r="H30" s="103">
        <v>11316.3</v>
      </c>
      <c r="I30" s="103">
        <v>6196.5</v>
      </c>
      <c r="J30" s="103">
        <v>214.9</v>
      </c>
      <c r="K30" s="103">
        <v>10655</v>
      </c>
      <c r="L30" s="103">
        <v>1623.3</v>
      </c>
      <c r="N30" s="103">
        <v>952.1</v>
      </c>
      <c r="O30" s="103">
        <v>-582</v>
      </c>
      <c r="P30" s="103">
        <v>780.6</v>
      </c>
      <c r="Q30" s="103">
        <v>-361.7</v>
      </c>
      <c r="R30" s="103">
        <v>-467.2</v>
      </c>
      <c r="S30" s="103">
        <v>-329.7</v>
      </c>
      <c r="T30" s="103">
        <v>878.5</v>
      </c>
      <c r="U30" s="103">
        <v>16315.5</v>
      </c>
      <c r="V30" s="103">
        <v>5188.3</v>
      </c>
      <c r="W30" s="103">
        <v>1741</v>
      </c>
      <c r="X30" s="103">
        <v>1408.9</v>
      </c>
      <c r="Y30" s="103">
        <v>526.29999999999995</v>
      </c>
      <c r="Z30" s="109">
        <v>5.1999999999999998E-2</v>
      </c>
      <c r="AA30" s="103">
        <v>0.318</v>
      </c>
      <c r="AB30" s="103">
        <v>0.107</v>
      </c>
      <c r="AC30" s="103">
        <v>8.5999999999999993E-2</v>
      </c>
      <c r="AD30" s="103">
        <v>3.2000000000000001E-2</v>
      </c>
      <c r="AE30" s="103">
        <v>0.04</v>
      </c>
      <c r="AF30" s="103">
        <v>9.5000000000000001E-2</v>
      </c>
      <c r="AG30" s="103">
        <v>1.8</v>
      </c>
      <c r="AH30" s="103">
        <v>1.4</v>
      </c>
      <c r="AI30" s="103">
        <v>1.5640000000000001</v>
      </c>
      <c r="AJ30" s="103">
        <v>0.61</v>
      </c>
      <c r="AK30" s="103">
        <v>5.2</v>
      </c>
      <c r="AL30" s="103">
        <v>0.7</v>
      </c>
      <c r="AM30" s="103">
        <v>4</v>
      </c>
    </row>
    <row r="31" spans="1:39" ht="43.5" customHeight="1">
      <c r="A31" s="103"/>
      <c r="B31" s="103"/>
      <c r="C31" s="103"/>
      <c r="D31" s="103"/>
      <c r="E31" s="103"/>
      <c r="F31" s="103"/>
      <c r="G31" s="103"/>
      <c r="H31" s="103"/>
      <c r="I31" s="103"/>
      <c r="J31" s="103"/>
      <c r="K31" s="103"/>
      <c r="L31" s="103"/>
      <c r="M31" s="103"/>
      <c r="N31" s="103"/>
      <c r="O31" s="103"/>
      <c r="P31" s="103"/>
      <c r="Q31" s="103"/>
      <c r="R31" s="103"/>
      <c r="S31" s="103"/>
      <c r="T31" s="103"/>
      <c r="U31" s="103">
        <f>AVERAGE(U26:U30)</f>
        <v>16518.14</v>
      </c>
      <c r="V31" s="103">
        <f>AVERAGE(V26:V30)</f>
        <v>5384.5599999999995</v>
      </c>
      <c r="W31" s="103">
        <f>AVERAGE(W26:W30)</f>
        <v>1874.3199999999997</v>
      </c>
      <c r="X31" s="103">
        <f>AVERAGE(X26:X30)</f>
        <v>1567.9399999999998</v>
      </c>
      <c r="Y31" s="103">
        <f>AVERAGE(Y26:Y30)</f>
        <v>759.8</v>
      </c>
      <c r="Z31" s="109">
        <f>AVERAGE(Z26:Z30)</f>
        <v>2.1599999999999998E-2</v>
      </c>
      <c r="AA31" s="109">
        <f>AVERAGE(AA26:AA30)</f>
        <v>0.32579999999999998</v>
      </c>
      <c r="AB31" s="103">
        <f>AVERAGE(AB26:AB30)</f>
        <v>0.1132</v>
      </c>
      <c r="AC31" s="103">
        <f>AVERAGE(AC26:AC30)</f>
        <v>9.4399999999999998E-2</v>
      </c>
      <c r="AD31" s="103">
        <f>AVERAGE(AD26:AD30)</f>
        <v>4.5999999999999999E-2</v>
      </c>
      <c r="AE31" s="103">
        <f>AVERAGE(AE26:AE30)</f>
        <v>4.4999999999999998E-2</v>
      </c>
      <c r="AF31" s="103">
        <f>AVERAGE(AF26:AF30)</f>
        <v>0.1318</v>
      </c>
      <c r="AG31" s="103">
        <f>AVERAGE(AG26:AG30)</f>
        <v>1.7399999999999998</v>
      </c>
      <c r="AH31" s="103">
        <f>AVERAGE(AH26:AH30)</f>
        <v>1.28</v>
      </c>
      <c r="AI31" s="103">
        <f>AVERAGE(AI26:AI30)</f>
        <v>1.5966</v>
      </c>
      <c r="AJ31" s="103">
        <f>AVERAGE(AJ26:AJ30)</f>
        <v>0.61419999999999997</v>
      </c>
      <c r="AK31" s="103">
        <f>AVERAGE(AK26:AK30)</f>
        <v>5.0199999999999996</v>
      </c>
      <c r="AL31" s="103">
        <f>AVERAGE(AL26:AL30)</f>
        <v>0.76000000000000012</v>
      </c>
      <c r="AM31" s="103">
        <f>AVERAGE(AM26:AM30)</f>
        <v>3.84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Harrison Jewell</cp:lastModifiedBy>
  <cp:revision/>
  <dcterms:created xsi:type="dcterms:W3CDTF">2026-06-12T22:36:26Z</dcterms:created>
  <dcterms:modified xsi:type="dcterms:W3CDTF">2026-06-29T16:05:27Z</dcterms:modified>
  <cp:category/>
  <cp:contentStatus/>
</cp:coreProperties>
</file>